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EA7BFACE-AC9E-433B-85D8-E85ACACA7A0F}" xr6:coauthVersionLast="47" xr6:coauthVersionMax="47" xr10:uidLastSave="{00000000-0000-0000-0000-000000000000}"/>
  <bookViews>
    <workbookView xWindow="-120" yWindow="480" windowWidth="29040" windowHeight="15840" activeTab="7" xr2:uid="{00000000-000D-0000-FFFF-FFFF00000000}"/>
  </bookViews>
  <sheets>
    <sheet name="masterlist" sheetId="1" r:id="rId1"/>
    <sheet name="nsl survey" sheetId="4" r:id="rId2"/>
    <sheet name="rsl survey" sheetId="5" r:id="rId3"/>
    <sheet name="foils" sheetId="6" r:id="rId4"/>
    <sheet name="nsl_list1" sheetId="8" r:id="rId5"/>
    <sheet name="nsl_list2" sheetId="9" r:id="rId6"/>
    <sheet name="rsl_list1" sheetId="10" r:id="rId7"/>
    <sheet name="rsl_list2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1" l="1"/>
  <c r="G49" i="11"/>
  <c r="B49" i="11" s="1"/>
  <c r="B97" i="10" s="1"/>
  <c r="G48" i="11"/>
  <c r="B48" i="11" s="1"/>
  <c r="B96" i="10" s="1"/>
  <c r="G47" i="11"/>
  <c r="B47" i="11" s="1"/>
  <c r="B95" i="10" s="1"/>
  <c r="G46" i="11"/>
  <c r="B46" i="11" s="1"/>
  <c r="B94" i="10" s="1"/>
  <c r="G45" i="11"/>
  <c r="B45" i="11" s="1"/>
  <c r="B93" i="10" s="1"/>
  <c r="G44" i="11"/>
  <c r="B44" i="11" s="1"/>
  <c r="B92" i="10" s="1"/>
  <c r="G43" i="11"/>
  <c r="B43" i="11" s="1"/>
  <c r="B91" i="10" s="1"/>
  <c r="G42" i="11"/>
  <c r="B42" i="11" s="1"/>
  <c r="B90" i="10" s="1"/>
  <c r="G41" i="11"/>
  <c r="B41" i="11" s="1"/>
  <c r="B89" i="10" s="1"/>
  <c r="G40" i="11"/>
  <c r="B40" i="11" s="1"/>
  <c r="B88" i="10" s="1"/>
  <c r="G39" i="11"/>
  <c r="B39" i="11" s="1"/>
  <c r="B87" i="10" s="1"/>
  <c r="G38" i="11"/>
  <c r="B38" i="11" s="1"/>
  <c r="B86" i="10" s="1"/>
  <c r="G37" i="11"/>
  <c r="B37" i="11" s="1"/>
  <c r="B85" i="10" s="1"/>
  <c r="G36" i="11"/>
  <c r="B36" i="11"/>
  <c r="B84" i="10" s="1"/>
  <c r="G35" i="11"/>
  <c r="B35" i="11"/>
  <c r="B83" i="10" s="1"/>
  <c r="G34" i="11"/>
  <c r="B34" i="11" s="1"/>
  <c r="B82" i="10" s="1"/>
  <c r="G33" i="11"/>
  <c r="B33" i="11" s="1"/>
  <c r="B81" i="10" s="1"/>
  <c r="G32" i="11"/>
  <c r="B32" i="11" s="1"/>
  <c r="B80" i="10" s="1"/>
  <c r="G31" i="11"/>
  <c r="B31" i="11" s="1"/>
  <c r="B79" i="10" s="1"/>
  <c r="G30" i="11"/>
  <c r="B30" i="11" s="1"/>
  <c r="B78" i="10" s="1"/>
  <c r="G29" i="11"/>
  <c r="B29" i="11" s="1"/>
  <c r="B77" i="10" s="1"/>
  <c r="G28" i="11"/>
  <c r="B28" i="11" s="1"/>
  <c r="B76" i="10" s="1"/>
  <c r="G27" i="11"/>
  <c r="B27" i="11" s="1"/>
  <c r="B75" i="10" s="1"/>
  <c r="G26" i="11"/>
  <c r="B26" i="11" s="1"/>
  <c r="B74" i="10" s="1"/>
  <c r="G25" i="11"/>
  <c r="B25" i="11" s="1"/>
  <c r="B73" i="10" s="1"/>
  <c r="G24" i="11"/>
  <c r="B24" i="11" s="1"/>
  <c r="B72" i="10" s="1"/>
  <c r="G23" i="11"/>
  <c r="B23" i="11" s="1"/>
  <c r="B71" i="10" s="1"/>
  <c r="G22" i="11"/>
  <c r="B22" i="11"/>
  <c r="B70" i="10" s="1"/>
  <c r="G21" i="11"/>
  <c r="B21" i="11" s="1"/>
  <c r="B69" i="10" s="1"/>
  <c r="G20" i="11"/>
  <c r="B20" i="11" s="1"/>
  <c r="B68" i="10" s="1"/>
  <c r="G19" i="11"/>
  <c r="B19" i="11"/>
  <c r="B67" i="10" s="1"/>
  <c r="G18" i="11"/>
  <c r="B18" i="11" s="1"/>
  <c r="B66" i="10" s="1"/>
  <c r="G17" i="11"/>
  <c r="B17" i="11" s="1"/>
  <c r="B65" i="10" s="1"/>
  <c r="G16" i="11"/>
  <c r="B16" i="11" s="1"/>
  <c r="B64" i="10" s="1"/>
  <c r="G15" i="11"/>
  <c r="B15" i="11" s="1"/>
  <c r="B63" i="10" s="1"/>
  <c r="G14" i="11"/>
  <c r="B14" i="11" s="1"/>
  <c r="B62" i="10" s="1"/>
  <c r="G13" i="11"/>
  <c r="B13" i="11" s="1"/>
  <c r="B61" i="10" s="1"/>
  <c r="G12" i="11"/>
  <c r="B12" i="11" s="1"/>
  <c r="B60" i="10" s="1"/>
  <c r="G11" i="11"/>
  <c r="B11" i="11" s="1"/>
  <c r="B59" i="10" s="1"/>
  <c r="G10" i="11"/>
  <c r="B10" i="11" s="1"/>
  <c r="B58" i="10" s="1"/>
  <c r="G9" i="11"/>
  <c r="B9" i="11" s="1"/>
  <c r="B57" i="10" s="1"/>
  <c r="G8" i="11"/>
  <c r="B8" i="11" s="1"/>
  <c r="B56" i="10" s="1"/>
  <c r="G7" i="11"/>
  <c r="B7" i="11" s="1"/>
  <c r="B55" i="10" s="1"/>
  <c r="G6" i="11"/>
  <c r="B6" i="11"/>
  <c r="B54" i="10" s="1"/>
  <c r="G5" i="11"/>
  <c r="B5" i="11"/>
  <c r="G4" i="11"/>
  <c r="B4" i="11" s="1"/>
  <c r="B52" i="10" s="1"/>
  <c r="G3" i="11"/>
  <c r="B3" i="11" s="1"/>
  <c r="B51" i="10" s="1"/>
  <c r="C99" i="10"/>
  <c r="B98" i="10"/>
  <c r="B53" i="10"/>
  <c r="G50" i="10"/>
  <c r="B50" i="10"/>
  <c r="B98" i="11" s="1"/>
  <c r="G49" i="10"/>
  <c r="B49" i="10" s="1"/>
  <c r="B97" i="11" s="1"/>
  <c r="G48" i="10"/>
  <c r="B48" i="10" s="1"/>
  <c r="B96" i="11" s="1"/>
  <c r="G47" i="10"/>
  <c r="B47" i="10" s="1"/>
  <c r="B95" i="11" s="1"/>
  <c r="G46" i="10"/>
  <c r="B46" i="10" s="1"/>
  <c r="B94" i="11" s="1"/>
  <c r="G45" i="10"/>
  <c r="B45" i="10" s="1"/>
  <c r="B93" i="11" s="1"/>
  <c r="G44" i="10"/>
  <c r="B44" i="10" s="1"/>
  <c r="B92" i="11" s="1"/>
  <c r="G43" i="10"/>
  <c r="B43" i="10" s="1"/>
  <c r="B91" i="11" s="1"/>
  <c r="G42" i="10"/>
  <c r="B42" i="10" s="1"/>
  <c r="B90" i="11" s="1"/>
  <c r="G41" i="10"/>
  <c r="B41" i="10" s="1"/>
  <c r="B89" i="11" s="1"/>
  <c r="G40" i="10"/>
  <c r="B40" i="10" s="1"/>
  <c r="B88" i="11" s="1"/>
  <c r="G39" i="10"/>
  <c r="B39" i="10" s="1"/>
  <c r="B87" i="11" s="1"/>
  <c r="G38" i="10"/>
  <c r="B38" i="10"/>
  <c r="B86" i="11" s="1"/>
  <c r="G37" i="10"/>
  <c r="B37" i="10" s="1"/>
  <c r="B85" i="11" s="1"/>
  <c r="G36" i="10"/>
  <c r="B36" i="10" s="1"/>
  <c r="B84" i="11" s="1"/>
  <c r="G35" i="10"/>
  <c r="B35" i="10" s="1"/>
  <c r="B83" i="11" s="1"/>
  <c r="G34" i="10"/>
  <c r="B34" i="10" s="1"/>
  <c r="B82" i="11" s="1"/>
  <c r="G33" i="10"/>
  <c r="B33" i="10"/>
  <c r="B81" i="11" s="1"/>
  <c r="G32" i="10"/>
  <c r="B32" i="10"/>
  <c r="B80" i="11" s="1"/>
  <c r="G31" i="10"/>
  <c r="B31" i="10" s="1"/>
  <c r="B79" i="11" s="1"/>
  <c r="G30" i="10"/>
  <c r="B30" i="10" s="1"/>
  <c r="B78" i="11" s="1"/>
  <c r="G29" i="10"/>
  <c r="B29" i="10" s="1"/>
  <c r="B77" i="11" s="1"/>
  <c r="G28" i="10"/>
  <c r="B28" i="10" s="1"/>
  <c r="B76" i="11" s="1"/>
  <c r="G27" i="10"/>
  <c r="B27" i="10" s="1"/>
  <c r="B75" i="11" s="1"/>
  <c r="G26" i="10"/>
  <c r="B26" i="10" s="1"/>
  <c r="B74" i="11" s="1"/>
  <c r="G25" i="10"/>
  <c r="B25" i="10" s="1"/>
  <c r="B73" i="11" s="1"/>
  <c r="G24" i="10"/>
  <c r="B24" i="10" s="1"/>
  <c r="B72" i="11" s="1"/>
  <c r="G23" i="10"/>
  <c r="B23" i="10" s="1"/>
  <c r="B71" i="11" s="1"/>
  <c r="G22" i="10"/>
  <c r="B22" i="10"/>
  <c r="B70" i="11" s="1"/>
  <c r="G21" i="10"/>
  <c r="B21" i="10" s="1"/>
  <c r="B69" i="11" s="1"/>
  <c r="G20" i="10"/>
  <c r="B20" i="10" s="1"/>
  <c r="B68" i="11" s="1"/>
  <c r="G19" i="10"/>
  <c r="B19" i="10"/>
  <c r="B67" i="11" s="1"/>
  <c r="G18" i="10"/>
  <c r="B18" i="10" s="1"/>
  <c r="B66" i="11" s="1"/>
  <c r="G17" i="10"/>
  <c r="B17" i="10" s="1"/>
  <c r="B65" i="11" s="1"/>
  <c r="G16" i="10"/>
  <c r="B16" i="10" s="1"/>
  <c r="B64" i="11" s="1"/>
  <c r="G15" i="10"/>
  <c r="B15" i="10" s="1"/>
  <c r="B63" i="11" s="1"/>
  <c r="G14" i="10"/>
  <c r="B14" i="10"/>
  <c r="B62" i="11" s="1"/>
  <c r="G13" i="10"/>
  <c r="B13" i="10" s="1"/>
  <c r="B61" i="11" s="1"/>
  <c r="G12" i="10"/>
  <c r="B12" i="10" s="1"/>
  <c r="B60" i="11" s="1"/>
  <c r="G11" i="10"/>
  <c r="B11" i="10" s="1"/>
  <c r="B59" i="11" s="1"/>
  <c r="G10" i="10"/>
  <c r="B10" i="10" s="1"/>
  <c r="B58" i="11" s="1"/>
  <c r="G9" i="10"/>
  <c r="B9" i="10" s="1"/>
  <c r="B57" i="11" s="1"/>
  <c r="G8" i="10"/>
  <c r="B8" i="10" s="1"/>
  <c r="B56" i="11" s="1"/>
  <c r="G7" i="10"/>
  <c r="B7" i="10" s="1"/>
  <c r="B55" i="11" s="1"/>
  <c r="G6" i="10"/>
  <c r="B6" i="10" s="1"/>
  <c r="B54" i="11" s="1"/>
  <c r="G5" i="10"/>
  <c r="B5" i="10" s="1"/>
  <c r="B53" i="11" s="1"/>
  <c r="G4" i="10"/>
  <c r="B4" i="10" s="1"/>
  <c r="B52" i="11" s="1"/>
  <c r="G3" i="10"/>
  <c r="B3" i="10" s="1"/>
  <c r="B51" i="11" s="1"/>
  <c r="B50" i="9"/>
  <c r="B98" i="8" s="1"/>
  <c r="G49" i="9"/>
  <c r="B49" i="9" s="1"/>
  <c r="B97" i="8" s="1"/>
  <c r="G48" i="9"/>
  <c r="B48" i="9" s="1"/>
  <c r="B96" i="8" s="1"/>
  <c r="G47" i="9"/>
  <c r="B47" i="9" s="1"/>
  <c r="B95" i="8" s="1"/>
  <c r="G46" i="9"/>
  <c r="B46" i="9" s="1"/>
  <c r="B94" i="8" s="1"/>
  <c r="G45" i="9"/>
  <c r="B45" i="9" s="1"/>
  <c r="B93" i="8" s="1"/>
  <c r="G44" i="9"/>
  <c r="B44" i="9" s="1"/>
  <c r="B92" i="8" s="1"/>
  <c r="G43" i="9"/>
  <c r="B43" i="9" s="1"/>
  <c r="B91" i="8" s="1"/>
  <c r="G42" i="9"/>
  <c r="B42" i="9" s="1"/>
  <c r="B90" i="8" s="1"/>
  <c r="G41" i="9"/>
  <c r="B41" i="9" s="1"/>
  <c r="B89" i="8" s="1"/>
  <c r="G40" i="9"/>
  <c r="B40" i="9" s="1"/>
  <c r="B88" i="8" s="1"/>
  <c r="G39" i="9"/>
  <c r="B39" i="9" s="1"/>
  <c r="B87" i="8" s="1"/>
  <c r="G38" i="9"/>
  <c r="B38" i="9" s="1"/>
  <c r="B86" i="8" s="1"/>
  <c r="G37" i="9"/>
  <c r="B37" i="9" s="1"/>
  <c r="B85" i="8" s="1"/>
  <c r="G36" i="9"/>
  <c r="B36" i="9"/>
  <c r="B84" i="8" s="1"/>
  <c r="G35" i="9"/>
  <c r="B35" i="9" s="1"/>
  <c r="B83" i="8" s="1"/>
  <c r="G34" i="9"/>
  <c r="B34" i="9" s="1"/>
  <c r="B82" i="8" s="1"/>
  <c r="G33" i="9"/>
  <c r="B33" i="9" s="1"/>
  <c r="B81" i="8" s="1"/>
  <c r="G32" i="9"/>
  <c r="B32" i="9" s="1"/>
  <c r="B80" i="8" s="1"/>
  <c r="G31" i="9"/>
  <c r="B31" i="9" s="1"/>
  <c r="B79" i="8" s="1"/>
  <c r="G30" i="9"/>
  <c r="B30" i="9" s="1"/>
  <c r="B78" i="8" s="1"/>
  <c r="C30" i="9"/>
  <c r="G29" i="9"/>
  <c r="B29" i="9" s="1"/>
  <c r="B77" i="8" s="1"/>
  <c r="G28" i="9"/>
  <c r="B28" i="9" s="1"/>
  <c r="B76" i="8" s="1"/>
  <c r="G27" i="9"/>
  <c r="B27" i="9" s="1"/>
  <c r="B75" i="8" s="1"/>
  <c r="G26" i="9"/>
  <c r="B26" i="9" s="1"/>
  <c r="B74" i="8" s="1"/>
  <c r="G25" i="9"/>
  <c r="B25" i="9"/>
  <c r="B73" i="8" s="1"/>
  <c r="G24" i="9"/>
  <c r="C24" i="9"/>
  <c r="B24" i="9"/>
  <c r="B72" i="8" s="1"/>
  <c r="G23" i="9"/>
  <c r="B23" i="9" s="1"/>
  <c r="B71" i="8" s="1"/>
  <c r="G22" i="9"/>
  <c r="B22" i="9" s="1"/>
  <c r="B70" i="8" s="1"/>
  <c r="G21" i="9"/>
  <c r="B21" i="9" s="1"/>
  <c r="B69" i="8" s="1"/>
  <c r="G20" i="9"/>
  <c r="B20" i="9"/>
  <c r="B68" i="8" s="1"/>
  <c r="G19" i="9"/>
  <c r="B19" i="9" s="1"/>
  <c r="B67" i="8" s="1"/>
  <c r="G18" i="9"/>
  <c r="B18" i="9" s="1"/>
  <c r="B66" i="8" s="1"/>
  <c r="G17" i="9"/>
  <c r="B17" i="9" s="1"/>
  <c r="B65" i="8" s="1"/>
  <c r="G16" i="9"/>
  <c r="B16" i="9" s="1"/>
  <c r="B64" i="8" s="1"/>
  <c r="G15" i="9"/>
  <c r="B15" i="9" s="1"/>
  <c r="B63" i="8" s="1"/>
  <c r="G14" i="9"/>
  <c r="B14" i="9" s="1"/>
  <c r="B62" i="8" s="1"/>
  <c r="G13" i="9"/>
  <c r="B13" i="9" s="1"/>
  <c r="B61" i="8" s="1"/>
  <c r="C13" i="9"/>
  <c r="G12" i="9"/>
  <c r="B12" i="9" s="1"/>
  <c r="B60" i="8" s="1"/>
  <c r="G11" i="9"/>
  <c r="B11" i="9" s="1"/>
  <c r="B59" i="8" s="1"/>
  <c r="G10" i="9"/>
  <c r="B10" i="9" s="1"/>
  <c r="B58" i="8" s="1"/>
  <c r="G9" i="9"/>
  <c r="B9" i="9"/>
  <c r="B57" i="8" s="1"/>
  <c r="G8" i="9"/>
  <c r="B8" i="9" s="1"/>
  <c r="B56" i="8" s="1"/>
  <c r="G7" i="9"/>
  <c r="B7" i="9" s="1"/>
  <c r="B55" i="8" s="1"/>
  <c r="G6" i="9"/>
  <c r="B6" i="9" s="1"/>
  <c r="B54" i="8" s="1"/>
  <c r="G5" i="9"/>
  <c r="B5" i="9" s="1"/>
  <c r="B53" i="8" s="1"/>
  <c r="G4" i="9"/>
  <c r="B4" i="9" s="1"/>
  <c r="B52" i="8" s="1"/>
  <c r="G3" i="9"/>
  <c r="B3" i="9" s="1"/>
  <c r="B51" i="8" s="1"/>
  <c r="C99" i="8"/>
  <c r="C81" i="8"/>
  <c r="G50" i="8"/>
  <c r="B50" i="8" s="1"/>
  <c r="B98" i="9" s="1"/>
  <c r="G49" i="8"/>
  <c r="B49" i="8" s="1"/>
  <c r="B97" i="9" s="1"/>
  <c r="G48" i="8"/>
  <c r="B48" i="8" s="1"/>
  <c r="B96" i="9" s="1"/>
  <c r="G47" i="8"/>
  <c r="B47" i="8" s="1"/>
  <c r="B95" i="9" s="1"/>
  <c r="G46" i="8"/>
  <c r="B46" i="8" s="1"/>
  <c r="B94" i="9" s="1"/>
  <c r="G45" i="8"/>
  <c r="B45" i="8" s="1"/>
  <c r="B93" i="9" s="1"/>
  <c r="G44" i="8"/>
  <c r="B44" i="8" s="1"/>
  <c r="B92" i="9" s="1"/>
  <c r="G43" i="8"/>
  <c r="B43" i="8" s="1"/>
  <c r="B91" i="9" s="1"/>
  <c r="G42" i="8"/>
  <c r="B42" i="8" s="1"/>
  <c r="B90" i="9" s="1"/>
  <c r="G41" i="8"/>
  <c r="B41" i="8" s="1"/>
  <c r="B89" i="9" s="1"/>
  <c r="G40" i="8"/>
  <c r="B40" i="8" s="1"/>
  <c r="B88" i="9" s="1"/>
  <c r="G39" i="8"/>
  <c r="B39" i="8" s="1"/>
  <c r="B87" i="9" s="1"/>
  <c r="G38" i="8"/>
  <c r="B38" i="8" s="1"/>
  <c r="B86" i="9" s="1"/>
  <c r="G37" i="8"/>
  <c r="B37" i="8" s="1"/>
  <c r="B85" i="9" s="1"/>
  <c r="G36" i="8"/>
  <c r="B36" i="8" s="1"/>
  <c r="B84" i="9" s="1"/>
  <c r="G35" i="8"/>
  <c r="B35" i="8" s="1"/>
  <c r="B83" i="9" s="1"/>
  <c r="G34" i="8"/>
  <c r="B34" i="8" s="1"/>
  <c r="B82" i="9" s="1"/>
  <c r="G33" i="8"/>
  <c r="B33" i="8" s="1"/>
  <c r="B81" i="9" s="1"/>
  <c r="G32" i="8"/>
  <c r="B32" i="8"/>
  <c r="B80" i="9" s="1"/>
  <c r="G31" i="8"/>
  <c r="B31" i="8" s="1"/>
  <c r="B79" i="9" s="1"/>
  <c r="G30" i="8"/>
  <c r="B30" i="8" s="1"/>
  <c r="B78" i="9" s="1"/>
  <c r="C30" i="8"/>
  <c r="G29" i="8"/>
  <c r="B29" i="8" s="1"/>
  <c r="B77" i="9" s="1"/>
  <c r="G28" i="8"/>
  <c r="B28" i="8" s="1"/>
  <c r="B76" i="9" s="1"/>
  <c r="G27" i="8"/>
  <c r="B27" i="8"/>
  <c r="B75" i="9" s="1"/>
  <c r="G26" i="8"/>
  <c r="B26" i="8" s="1"/>
  <c r="B74" i="9" s="1"/>
  <c r="G25" i="8"/>
  <c r="B25" i="8" s="1"/>
  <c r="B73" i="9" s="1"/>
  <c r="G24" i="8"/>
  <c r="B24" i="8" s="1"/>
  <c r="B72" i="9" s="1"/>
  <c r="C24" i="8"/>
  <c r="G23" i="8"/>
  <c r="B23" i="8" s="1"/>
  <c r="B71" i="9" s="1"/>
  <c r="G22" i="8"/>
  <c r="B22" i="8" s="1"/>
  <c r="B70" i="9" s="1"/>
  <c r="G21" i="8"/>
  <c r="B21" i="8" s="1"/>
  <c r="B69" i="9" s="1"/>
  <c r="G20" i="8"/>
  <c r="B20" i="8" s="1"/>
  <c r="B68" i="9" s="1"/>
  <c r="G19" i="8"/>
  <c r="B19" i="8" s="1"/>
  <c r="B67" i="9" s="1"/>
  <c r="G18" i="8"/>
  <c r="B18" i="8" s="1"/>
  <c r="B66" i="9" s="1"/>
  <c r="G17" i="8"/>
  <c r="B17" i="8" s="1"/>
  <c r="B65" i="9" s="1"/>
  <c r="G16" i="8"/>
  <c r="B16" i="8" s="1"/>
  <c r="B64" i="9" s="1"/>
  <c r="G15" i="8"/>
  <c r="B15" i="8" s="1"/>
  <c r="B63" i="9" s="1"/>
  <c r="G14" i="8"/>
  <c r="B14" i="8" s="1"/>
  <c r="B62" i="9" s="1"/>
  <c r="G13" i="8"/>
  <c r="B13" i="8" s="1"/>
  <c r="B61" i="9" s="1"/>
  <c r="C13" i="8"/>
  <c r="G12" i="8"/>
  <c r="B12" i="8" s="1"/>
  <c r="B60" i="9" s="1"/>
  <c r="G11" i="8"/>
  <c r="B11" i="8" s="1"/>
  <c r="B59" i="9" s="1"/>
  <c r="G10" i="8"/>
  <c r="B10" i="8" s="1"/>
  <c r="B58" i="9" s="1"/>
  <c r="G9" i="8"/>
  <c r="B9" i="8" s="1"/>
  <c r="B57" i="9" s="1"/>
  <c r="G8" i="8"/>
  <c r="B8" i="8" s="1"/>
  <c r="B56" i="9" s="1"/>
  <c r="G7" i="8"/>
  <c r="B7" i="8" s="1"/>
  <c r="B55" i="9" s="1"/>
  <c r="G6" i="8"/>
  <c r="B6" i="8" s="1"/>
  <c r="B54" i="9" s="1"/>
  <c r="G5" i="8"/>
  <c r="B5" i="8" s="1"/>
  <c r="B53" i="9" s="1"/>
  <c r="G4" i="8"/>
  <c r="B4" i="8" s="1"/>
  <c r="B52" i="9" s="1"/>
  <c r="G3" i="8"/>
  <c r="B3" i="8" s="1"/>
  <c r="B51" i="9" s="1"/>
  <c r="I49" i="6"/>
  <c r="C98" i="11" s="1"/>
  <c r="F49" i="6"/>
  <c r="C98" i="8" s="1"/>
  <c r="I48" i="6"/>
  <c r="C97" i="11" s="1"/>
  <c r="F48" i="6"/>
  <c r="C97" i="8" s="1"/>
  <c r="I47" i="6"/>
  <c r="C96" i="11" s="1"/>
  <c r="F47" i="6"/>
  <c r="C96" i="8" s="1"/>
  <c r="I46" i="6"/>
  <c r="C95" i="11" s="1"/>
  <c r="F46" i="6"/>
  <c r="C95" i="8" s="1"/>
  <c r="I45" i="6"/>
  <c r="C94" i="11" s="1"/>
  <c r="F45" i="6"/>
  <c r="C94" i="8" s="1"/>
  <c r="I44" i="6"/>
  <c r="C93" i="11" s="1"/>
  <c r="F44" i="6"/>
  <c r="C93" i="8" s="1"/>
  <c r="I43" i="6"/>
  <c r="C92" i="11" s="1"/>
  <c r="F43" i="6"/>
  <c r="C92" i="8" s="1"/>
  <c r="I42" i="6"/>
  <c r="C91" i="11" s="1"/>
  <c r="F42" i="6"/>
  <c r="C91" i="8" s="1"/>
  <c r="I41" i="6"/>
  <c r="C90" i="11" s="1"/>
  <c r="F41" i="6"/>
  <c r="C90" i="8" s="1"/>
  <c r="I40" i="6"/>
  <c r="C89" i="11" s="1"/>
  <c r="F40" i="6"/>
  <c r="C89" i="8" s="1"/>
  <c r="I39" i="6"/>
  <c r="C88" i="11" s="1"/>
  <c r="F39" i="6"/>
  <c r="C88" i="8" s="1"/>
  <c r="I38" i="6"/>
  <c r="C87" i="11" s="1"/>
  <c r="F38" i="6"/>
  <c r="C87" i="8" s="1"/>
  <c r="I37" i="6"/>
  <c r="C86" i="11" s="1"/>
  <c r="F37" i="6"/>
  <c r="C86" i="8" s="1"/>
  <c r="I36" i="6"/>
  <c r="C85" i="11" s="1"/>
  <c r="F36" i="6"/>
  <c r="C85" i="8" s="1"/>
  <c r="I35" i="6"/>
  <c r="C84" i="11" s="1"/>
  <c r="F35" i="6"/>
  <c r="C84" i="8" s="1"/>
  <c r="I34" i="6"/>
  <c r="C83" i="11" s="1"/>
  <c r="F34" i="6"/>
  <c r="C83" i="8" s="1"/>
  <c r="I33" i="6"/>
  <c r="C82" i="11" s="1"/>
  <c r="F33" i="6"/>
  <c r="C82" i="8" s="1"/>
  <c r="I32" i="6"/>
  <c r="C81" i="11" s="1"/>
  <c r="F32" i="6"/>
  <c r="I31" i="6"/>
  <c r="C80" i="11" s="1"/>
  <c r="F31" i="6"/>
  <c r="C80" i="8" s="1"/>
  <c r="I30" i="6"/>
  <c r="C79" i="11" s="1"/>
  <c r="F30" i="6"/>
  <c r="C79" i="8" s="1"/>
  <c r="I29" i="6"/>
  <c r="C78" i="11" s="1"/>
  <c r="F29" i="6"/>
  <c r="C78" i="8" s="1"/>
  <c r="I28" i="6"/>
  <c r="C77" i="11" s="1"/>
  <c r="F28" i="6"/>
  <c r="C77" i="8" s="1"/>
  <c r="I27" i="6"/>
  <c r="C76" i="11" s="1"/>
  <c r="F27" i="6"/>
  <c r="C76" i="8" s="1"/>
  <c r="I26" i="6"/>
  <c r="C75" i="11" s="1"/>
  <c r="F26" i="6"/>
  <c r="C75" i="8" s="1"/>
  <c r="I25" i="6"/>
  <c r="C74" i="11" s="1"/>
  <c r="F25" i="6"/>
  <c r="C74" i="8" s="1"/>
  <c r="I24" i="6"/>
  <c r="C73" i="11" s="1"/>
  <c r="F24" i="6"/>
  <c r="C73" i="8" s="1"/>
  <c r="I23" i="6"/>
  <c r="C72" i="11" s="1"/>
  <c r="F23" i="6"/>
  <c r="C72" i="8" s="1"/>
  <c r="I22" i="6"/>
  <c r="C71" i="11" s="1"/>
  <c r="F22" i="6"/>
  <c r="C71" i="8" s="1"/>
  <c r="I21" i="6"/>
  <c r="C70" i="11" s="1"/>
  <c r="F21" i="6"/>
  <c r="C70" i="8" s="1"/>
  <c r="I20" i="6"/>
  <c r="C69" i="11" s="1"/>
  <c r="F20" i="6"/>
  <c r="C69" i="8" s="1"/>
  <c r="I19" i="6"/>
  <c r="C68" i="11" s="1"/>
  <c r="F19" i="6"/>
  <c r="C68" i="8" s="1"/>
  <c r="I18" i="6"/>
  <c r="C67" i="11" s="1"/>
  <c r="F18" i="6"/>
  <c r="C67" i="8" s="1"/>
  <c r="I17" i="6"/>
  <c r="C66" i="11" s="1"/>
  <c r="F17" i="6"/>
  <c r="C66" i="8" s="1"/>
  <c r="I16" i="6"/>
  <c r="C65" i="11" s="1"/>
  <c r="F16" i="6"/>
  <c r="C65" i="8" s="1"/>
  <c r="I15" i="6"/>
  <c r="C64" i="11" s="1"/>
  <c r="F15" i="6"/>
  <c r="C64" i="8" s="1"/>
  <c r="I14" i="6"/>
  <c r="C63" i="11" s="1"/>
  <c r="F14" i="6"/>
  <c r="C63" i="8" s="1"/>
  <c r="I13" i="6"/>
  <c r="C62" i="11" s="1"/>
  <c r="F13" i="6"/>
  <c r="C62" i="8" s="1"/>
  <c r="I12" i="6"/>
  <c r="C61" i="11" s="1"/>
  <c r="F12" i="6"/>
  <c r="C61" i="8" s="1"/>
  <c r="I11" i="6"/>
  <c r="C60" i="11" s="1"/>
  <c r="F11" i="6"/>
  <c r="C60" i="8" s="1"/>
  <c r="I10" i="6"/>
  <c r="C59" i="11" s="1"/>
  <c r="F10" i="6"/>
  <c r="C59" i="8" s="1"/>
  <c r="I9" i="6"/>
  <c r="C58" i="11" s="1"/>
  <c r="F9" i="6"/>
  <c r="C58" i="8" s="1"/>
  <c r="I8" i="6"/>
  <c r="C57" i="11" s="1"/>
  <c r="F8" i="6"/>
  <c r="C57" i="8" s="1"/>
  <c r="I7" i="6"/>
  <c r="C56" i="11" s="1"/>
  <c r="F7" i="6"/>
  <c r="C56" i="8" s="1"/>
  <c r="I6" i="6"/>
  <c r="C55" i="11" s="1"/>
  <c r="F6" i="6"/>
  <c r="C55" i="8" s="1"/>
  <c r="I5" i="6"/>
  <c r="C54" i="11" s="1"/>
  <c r="F5" i="6"/>
  <c r="C54" i="8" s="1"/>
  <c r="I4" i="6"/>
  <c r="C53" i="11" s="1"/>
  <c r="F4" i="6"/>
  <c r="C53" i="8" s="1"/>
  <c r="I3" i="6"/>
  <c r="C52" i="11" s="1"/>
  <c r="F3" i="6"/>
  <c r="C52" i="8" s="1"/>
  <c r="I2" i="6"/>
  <c r="C51" i="11" s="1"/>
  <c r="F2" i="6"/>
  <c r="C51" i="8" s="1"/>
  <c r="C50" i="5"/>
  <c r="B50" i="5"/>
  <c r="E50" i="5" s="1"/>
  <c r="C49" i="5"/>
  <c r="B49" i="5"/>
  <c r="E49" i="5" s="1"/>
  <c r="C48" i="5"/>
  <c r="B48" i="5"/>
  <c r="E48" i="5" s="1"/>
  <c r="C47" i="5"/>
  <c r="B47" i="5"/>
  <c r="E47" i="5" s="1"/>
  <c r="E46" i="5"/>
  <c r="C46" i="5"/>
  <c r="B46" i="5"/>
  <c r="C45" i="5"/>
  <c r="B45" i="5"/>
  <c r="E45" i="5" s="1"/>
  <c r="C44" i="5"/>
  <c r="B44" i="5"/>
  <c r="E44" i="5" s="1"/>
  <c r="C43" i="5"/>
  <c r="B43" i="5"/>
  <c r="E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E38" i="5"/>
  <c r="C38" i="5"/>
  <c r="B38" i="5"/>
  <c r="C37" i="5"/>
  <c r="B37" i="5"/>
  <c r="E37" i="5" s="1"/>
  <c r="C36" i="5"/>
  <c r="B36" i="5"/>
  <c r="E36" i="5" s="1"/>
  <c r="C35" i="5"/>
  <c r="B35" i="5"/>
  <c r="E35" i="5" s="1"/>
  <c r="C34" i="5"/>
  <c r="B34" i="5"/>
  <c r="E34" i="5" s="1"/>
  <c r="C33" i="5"/>
  <c r="B33" i="5"/>
  <c r="E33" i="5" s="1"/>
  <c r="C32" i="5"/>
  <c r="B32" i="5"/>
  <c r="E32" i="5" s="1"/>
  <c r="C31" i="5"/>
  <c r="B31" i="5"/>
  <c r="E31" i="5" s="1"/>
  <c r="C30" i="5"/>
  <c r="B30" i="5"/>
  <c r="E30" i="5" s="1"/>
  <c r="C29" i="5"/>
  <c r="B29" i="5"/>
  <c r="E29" i="5" s="1"/>
  <c r="C28" i="5"/>
  <c r="B28" i="5"/>
  <c r="E28" i="5" s="1"/>
  <c r="C27" i="5"/>
  <c r="B27" i="5"/>
  <c r="E27" i="5" s="1"/>
  <c r="E26" i="5"/>
  <c r="C26" i="5"/>
  <c r="B26" i="5"/>
  <c r="C25" i="5"/>
  <c r="B25" i="5"/>
  <c r="E25" i="5" s="1"/>
  <c r="C24" i="5"/>
  <c r="B24" i="5"/>
  <c r="E24" i="5" s="1"/>
  <c r="C23" i="5"/>
  <c r="B23" i="5"/>
  <c r="E23" i="5" s="1"/>
  <c r="C22" i="5"/>
  <c r="B22" i="5"/>
  <c r="E22" i="5" s="1"/>
  <c r="C21" i="5"/>
  <c r="B21" i="5"/>
  <c r="E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B16" i="5"/>
  <c r="E16" i="5" s="1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E11" i="5" s="1"/>
  <c r="C10" i="5"/>
  <c r="B10" i="5"/>
  <c r="E10" i="5" s="1"/>
  <c r="C9" i="5"/>
  <c r="B9" i="5"/>
  <c r="E9" i="5" s="1"/>
  <c r="C8" i="5"/>
  <c r="B8" i="5"/>
  <c r="E8" i="5" s="1"/>
  <c r="C7" i="5"/>
  <c r="B7" i="5"/>
  <c r="E7" i="5" s="1"/>
  <c r="E6" i="5"/>
  <c r="C6" i="5"/>
  <c r="B6" i="5"/>
  <c r="C5" i="5"/>
  <c r="B5" i="5"/>
  <c r="E5" i="5" s="1"/>
  <c r="C4" i="5"/>
  <c r="B4" i="5"/>
  <c r="E4" i="5" s="1"/>
  <c r="C3" i="5"/>
  <c r="B3" i="5"/>
  <c r="E3" i="5" s="1"/>
  <c r="E50" i="4"/>
  <c r="C50" i="4"/>
  <c r="D50" i="4" s="1"/>
  <c r="E49" i="4"/>
  <c r="C49" i="4"/>
  <c r="D49" i="4" s="1"/>
  <c r="E48" i="4"/>
  <c r="C48" i="4"/>
  <c r="D48" i="4" s="1"/>
  <c r="E47" i="4"/>
  <c r="C47" i="4"/>
  <c r="D47" i="4" s="1"/>
  <c r="E46" i="4"/>
  <c r="C46" i="4"/>
  <c r="D46" i="4" s="1"/>
  <c r="E45" i="4"/>
  <c r="C45" i="4"/>
  <c r="D45" i="4" s="1"/>
  <c r="E44" i="4"/>
  <c r="C44" i="4"/>
  <c r="D44" i="4" s="1"/>
  <c r="E43" i="4"/>
  <c r="C43" i="4"/>
  <c r="D43" i="4" s="1"/>
  <c r="E42" i="4"/>
  <c r="C42" i="4"/>
  <c r="D42" i="4" s="1"/>
  <c r="E41" i="4"/>
  <c r="C41" i="4"/>
  <c r="E40" i="4"/>
  <c r="C40" i="4"/>
  <c r="D40" i="4" s="1"/>
  <c r="E39" i="4"/>
  <c r="C39" i="4"/>
  <c r="D39" i="4" s="1"/>
  <c r="E38" i="4"/>
  <c r="C38" i="4"/>
  <c r="D38" i="4" s="1"/>
  <c r="E37" i="4"/>
  <c r="C37" i="4"/>
  <c r="D37" i="4" s="1"/>
  <c r="E36" i="4"/>
  <c r="C36" i="4"/>
  <c r="D36" i="4" s="1"/>
  <c r="E35" i="4"/>
  <c r="C35" i="4"/>
  <c r="D35" i="4" s="1"/>
  <c r="E34" i="4"/>
  <c r="C34" i="4"/>
  <c r="E33" i="4"/>
  <c r="C33" i="4"/>
  <c r="E32" i="4"/>
  <c r="C32" i="4"/>
  <c r="D32" i="4" s="1"/>
  <c r="E31" i="4"/>
  <c r="C31" i="4"/>
  <c r="D31" i="4" s="1"/>
  <c r="E30" i="4"/>
  <c r="C30" i="4"/>
  <c r="D30" i="4" s="1"/>
  <c r="E29" i="4"/>
  <c r="C29" i="4"/>
  <c r="D29" i="4" s="1"/>
  <c r="E28" i="4"/>
  <c r="C28" i="4"/>
  <c r="D28" i="4" s="1"/>
  <c r="E27" i="4"/>
  <c r="C27" i="4"/>
  <c r="D27" i="4" s="1"/>
  <c r="E26" i="4"/>
  <c r="C26" i="4"/>
  <c r="D26" i="4" s="1"/>
  <c r="E25" i="4"/>
  <c r="D25" i="4"/>
  <c r="C25" i="4"/>
  <c r="E24" i="4"/>
  <c r="D24" i="4"/>
  <c r="C24" i="4"/>
  <c r="E23" i="4"/>
  <c r="C23" i="4"/>
  <c r="D23" i="4" s="1"/>
  <c r="E22" i="4"/>
  <c r="C22" i="4"/>
  <c r="D22" i="4" s="1"/>
  <c r="E21" i="4"/>
  <c r="C21" i="4"/>
  <c r="D21" i="4" s="1"/>
  <c r="E20" i="4"/>
  <c r="C20" i="4"/>
  <c r="D20" i="4" s="1"/>
  <c r="E19" i="4"/>
  <c r="C19" i="4"/>
  <c r="D19" i="4" s="1"/>
  <c r="E18" i="4"/>
  <c r="C18" i="4"/>
  <c r="D18" i="4" s="1"/>
  <c r="E17" i="4"/>
  <c r="C17" i="4"/>
  <c r="D17" i="4" s="1"/>
  <c r="E16" i="4"/>
  <c r="C16" i="4"/>
  <c r="D16" i="4" s="1"/>
  <c r="E15" i="4"/>
  <c r="D15" i="4"/>
  <c r="C15" i="4"/>
  <c r="E14" i="4"/>
  <c r="C14" i="4"/>
  <c r="D14" i="4" s="1"/>
  <c r="E13" i="4"/>
  <c r="C13" i="4"/>
  <c r="D13" i="4" s="1"/>
  <c r="E12" i="4"/>
  <c r="D12" i="4"/>
  <c r="C12" i="4"/>
  <c r="E11" i="4"/>
  <c r="C11" i="4"/>
  <c r="D11" i="4" s="1"/>
  <c r="E10" i="4"/>
  <c r="C10" i="4"/>
  <c r="D10" i="4" s="1"/>
  <c r="E9" i="4"/>
  <c r="D9" i="4"/>
  <c r="C9" i="4"/>
  <c r="E8" i="4"/>
  <c r="D8" i="4"/>
  <c r="C8" i="4"/>
  <c r="E7" i="4"/>
  <c r="C7" i="4"/>
  <c r="D7" i="4" s="1"/>
  <c r="E6" i="4"/>
  <c r="D6" i="4"/>
  <c r="C6" i="4"/>
  <c r="E5" i="4"/>
  <c r="C5" i="4"/>
  <c r="D5" i="4" s="1"/>
  <c r="E4" i="4"/>
  <c r="C4" i="4"/>
  <c r="D4" i="4" s="1"/>
  <c r="E3" i="4"/>
  <c r="D3" i="4"/>
  <c r="C3" i="4"/>
  <c r="AD49" i="1"/>
  <c r="AB49" i="1"/>
  <c r="Z49" i="1"/>
  <c r="X49" i="1"/>
  <c r="R49" i="1"/>
  <c r="N49" i="1"/>
  <c r="J49" i="1"/>
  <c r="C50" i="11" s="1"/>
  <c r="D49" i="1"/>
  <c r="C50" i="8" s="1"/>
  <c r="AD48" i="1"/>
  <c r="AB48" i="1"/>
  <c r="Z48" i="1"/>
  <c r="W48" i="1"/>
  <c r="X48" i="1" s="1"/>
  <c r="R48" i="1"/>
  <c r="P48" i="1"/>
  <c r="N48" i="1"/>
  <c r="J48" i="1"/>
  <c r="C49" i="11" s="1"/>
  <c r="D48" i="1"/>
  <c r="C49" i="8" s="1"/>
  <c r="AD47" i="1"/>
  <c r="AB47" i="1"/>
  <c r="Z47" i="1"/>
  <c r="X47" i="1"/>
  <c r="R47" i="1"/>
  <c r="P47" i="1"/>
  <c r="N47" i="1"/>
  <c r="J47" i="1"/>
  <c r="D48" i="5" s="1"/>
  <c r="D47" i="1"/>
  <c r="C48" i="8" s="1"/>
  <c r="AD46" i="1"/>
  <c r="AB46" i="1"/>
  <c r="Z46" i="1"/>
  <c r="X46" i="1"/>
  <c r="R46" i="1"/>
  <c r="P46" i="1"/>
  <c r="N46" i="1"/>
  <c r="J46" i="1"/>
  <c r="D47" i="5" s="1"/>
  <c r="D46" i="1"/>
  <c r="C47" i="8" s="1"/>
  <c r="AD45" i="1"/>
  <c r="AB45" i="1"/>
  <c r="Z45" i="1"/>
  <c r="X45" i="1"/>
  <c r="R45" i="1"/>
  <c r="P45" i="1"/>
  <c r="N45" i="1"/>
  <c r="J45" i="1"/>
  <c r="D46" i="5" s="1"/>
  <c r="D45" i="1"/>
  <c r="C46" i="8" s="1"/>
  <c r="AD44" i="1"/>
  <c r="AB44" i="1"/>
  <c r="Z44" i="1"/>
  <c r="X44" i="1"/>
  <c r="R44" i="1"/>
  <c r="P44" i="1"/>
  <c r="N44" i="1"/>
  <c r="J44" i="1"/>
  <c r="C45" i="10" s="1"/>
  <c r="D44" i="1"/>
  <c r="C45" i="8" s="1"/>
  <c r="AD43" i="1"/>
  <c r="AB43" i="1"/>
  <c r="Z43" i="1"/>
  <c r="X43" i="1"/>
  <c r="R43" i="1"/>
  <c r="P43" i="1"/>
  <c r="N43" i="1"/>
  <c r="J43" i="1"/>
  <c r="C44" i="11" s="1"/>
  <c r="D43" i="1"/>
  <c r="C44" i="9" s="1"/>
  <c r="AD42" i="1"/>
  <c r="AB42" i="1"/>
  <c r="Z42" i="1"/>
  <c r="X42" i="1"/>
  <c r="R42" i="1"/>
  <c r="N42" i="1"/>
  <c r="J42" i="1"/>
  <c r="C43" i="11" s="1"/>
  <c r="D42" i="1"/>
  <c r="C43" i="8" s="1"/>
  <c r="AD41" i="1"/>
  <c r="AB41" i="1"/>
  <c r="Z41" i="1"/>
  <c r="X41" i="1"/>
  <c r="R41" i="1"/>
  <c r="N41" i="1"/>
  <c r="J41" i="1"/>
  <c r="C42" i="11" s="1"/>
  <c r="D41" i="1"/>
  <c r="C42" i="9" s="1"/>
  <c r="AD40" i="1"/>
  <c r="AB40" i="1"/>
  <c r="Z40" i="1"/>
  <c r="X40" i="1"/>
  <c r="R40" i="1"/>
  <c r="P40" i="1"/>
  <c r="N40" i="1"/>
  <c r="J40" i="1"/>
  <c r="C41" i="11" s="1"/>
  <c r="D40" i="1"/>
  <c r="C41" i="9" s="1"/>
  <c r="AD39" i="1"/>
  <c r="AB39" i="1"/>
  <c r="Z39" i="1"/>
  <c r="X39" i="1"/>
  <c r="R39" i="1"/>
  <c r="P39" i="1"/>
  <c r="N39" i="1"/>
  <c r="J39" i="1"/>
  <c r="D40" i="5" s="1"/>
  <c r="D39" i="1"/>
  <c r="C40" i="9" s="1"/>
  <c r="AD38" i="1"/>
  <c r="AB38" i="1"/>
  <c r="Z38" i="1"/>
  <c r="X38" i="1"/>
  <c r="R38" i="1"/>
  <c r="P38" i="1"/>
  <c r="N38" i="1"/>
  <c r="J38" i="1"/>
  <c r="C39" i="11" s="1"/>
  <c r="D38" i="1"/>
  <c r="C39" i="9" s="1"/>
  <c r="AD37" i="1"/>
  <c r="AB37" i="1"/>
  <c r="Z37" i="1"/>
  <c r="X37" i="1"/>
  <c r="R37" i="1"/>
  <c r="N37" i="1"/>
  <c r="J37" i="1"/>
  <c r="C38" i="11" s="1"/>
  <c r="D37" i="1"/>
  <c r="C38" i="9" s="1"/>
  <c r="AD36" i="1"/>
  <c r="AB36" i="1"/>
  <c r="Z36" i="1"/>
  <c r="X36" i="1"/>
  <c r="R36" i="1"/>
  <c r="P36" i="1"/>
  <c r="N36" i="1"/>
  <c r="J36" i="1"/>
  <c r="C37" i="11" s="1"/>
  <c r="D36" i="1"/>
  <c r="C37" i="9" s="1"/>
  <c r="AD35" i="1"/>
  <c r="AB35" i="1"/>
  <c r="Z35" i="1"/>
  <c r="X35" i="1"/>
  <c r="R35" i="1"/>
  <c r="N35" i="1"/>
  <c r="J35" i="1"/>
  <c r="D36" i="5" s="1"/>
  <c r="D35" i="1"/>
  <c r="C36" i="9" s="1"/>
  <c r="AD34" i="1"/>
  <c r="AB34" i="1"/>
  <c r="Z34" i="1"/>
  <c r="X34" i="1"/>
  <c r="R34" i="1"/>
  <c r="P34" i="1"/>
  <c r="N34" i="1"/>
  <c r="J34" i="1"/>
  <c r="D35" i="5" s="1"/>
  <c r="D34" i="1"/>
  <c r="C35" i="9" s="1"/>
  <c r="AD33" i="1"/>
  <c r="AB33" i="1"/>
  <c r="Z33" i="1"/>
  <c r="X33" i="1"/>
  <c r="R33" i="1"/>
  <c r="N33" i="1"/>
  <c r="J33" i="1"/>
  <c r="C34" i="11" s="1"/>
  <c r="D33" i="1"/>
  <c r="C34" i="9" s="1"/>
  <c r="AD32" i="1"/>
  <c r="AB32" i="1"/>
  <c r="Z32" i="1"/>
  <c r="W32" i="1"/>
  <c r="X32" i="1" s="1"/>
  <c r="R32" i="1"/>
  <c r="P32" i="1"/>
  <c r="N32" i="1"/>
  <c r="J32" i="1"/>
  <c r="C33" i="11" s="1"/>
  <c r="D32" i="1"/>
  <c r="C33" i="9" s="1"/>
  <c r="AD31" i="1"/>
  <c r="AB31" i="1"/>
  <c r="Z31" i="1"/>
  <c r="X31" i="1"/>
  <c r="R31" i="1"/>
  <c r="P31" i="1"/>
  <c r="N31" i="1"/>
  <c r="J31" i="1"/>
  <c r="D32" i="5" s="1"/>
  <c r="D31" i="1"/>
  <c r="C32" i="9" s="1"/>
  <c r="AD30" i="1"/>
  <c r="AB30" i="1"/>
  <c r="Z30" i="1"/>
  <c r="X30" i="1"/>
  <c r="R30" i="1"/>
  <c r="P30" i="1"/>
  <c r="N30" i="1"/>
  <c r="J30" i="1"/>
  <c r="D31" i="5" s="1"/>
  <c r="D30" i="1"/>
  <c r="C31" i="9" s="1"/>
  <c r="AD29" i="1"/>
  <c r="AB29" i="1"/>
  <c r="Z29" i="1"/>
  <c r="X29" i="1"/>
  <c r="R29" i="1"/>
  <c r="N29" i="1"/>
  <c r="J29" i="1"/>
  <c r="D30" i="5" s="1"/>
  <c r="AD28" i="1"/>
  <c r="AB28" i="1"/>
  <c r="Z28" i="1"/>
  <c r="W28" i="1"/>
  <c r="X28" i="1" s="1"/>
  <c r="R28" i="1"/>
  <c r="P28" i="1"/>
  <c r="N28" i="1"/>
  <c r="J28" i="1"/>
  <c r="C29" i="10" s="1"/>
  <c r="D28" i="1"/>
  <c r="C29" i="9" s="1"/>
  <c r="AD27" i="1"/>
  <c r="AB27" i="1"/>
  <c r="Z27" i="1"/>
  <c r="X27" i="1"/>
  <c r="R27" i="1"/>
  <c r="P27" i="1"/>
  <c r="N27" i="1"/>
  <c r="J27" i="1"/>
  <c r="C28" i="11" s="1"/>
  <c r="D27" i="1"/>
  <c r="C28" i="9" s="1"/>
  <c r="AD26" i="1"/>
  <c r="AB26" i="1"/>
  <c r="Z26" i="1"/>
  <c r="X26" i="1"/>
  <c r="R26" i="1"/>
  <c r="N26" i="1"/>
  <c r="J26" i="1"/>
  <c r="C27" i="11" s="1"/>
  <c r="D26" i="1"/>
  <c r="C27" i="8" s="1"/>
  <c r="AD25" i="1"/>
  <c r="AB25" i="1"/>
  <c r="Z25" i="1"/>
  <c r="W25" i="1"/>
  <c r="X25" i="1" s="1"/>
  <c r="R25" i="1"/>
  <c r="N25" i="1"/>
  <c r="J25" i="1"/>
  <c r="C26" i="11" s="1"/>
  <c r="D25" i="1"/>
  <c r="C26" i="9" s="1"/>
  <c r="AD24" i="1"/>
  <c r="AB24" i="1"/>
  <c r="Z24" i="1"/>
  <c r="X24" i="1"/>
  <c r="R24" i="1"/>
  <c r="N24" i="1"/>
  <c r="J24" i="1"/>
  <c r="C25" i="11" s="1"/>
  <c r="D24" i="1"/>
  <c r="C25" i="9" s="1"/>
  <c r="AD23" i="1"/>
  <c r="AB23" i="1"/>
  <c r="Z23" i="1"/>
  <c r="W23" i="1"/>
  <c r="X23" i="1" s="1"/>
  <c r="R23" i="1"/>
  <c r="P23" i="1"/>
  <c r="N23" i="1"/>
  <c r="J23" i="1"/>
  <c r="D24" i="5" s="1"/>
  <c r="AD22" i="1"/>
  <c r="AB22" i="1"/>
  <c r="Z22" i="1"/>
  <c r="X22" i="1"/>
  <c r="R22" i="1"/>
  <c r="P22" i="1"/>
  <c r="N22" i="1"/>
  <c r="J22" i="1"/>
  <c r="C23" i="11" s="1"/>
  <c r="D22" i="1"/>
  <c r="C23" i="9" s="1"/>
  <c r="AD21" i="1"/>
  <c r="AB21" i="1"/>
  <c r="Z21" i="1"/>
  <c r="X21" i="1"/>
  <c r="R21" i="1"/>
  <c r="P21" i="1"/>
  <c r="N21" i="1"/>
  <c r="J21" i="1"/>
  <c r="C22" i="11" s="1"/>
  <c r="D21" i="1"/>
  <c r="C22" i="9" s="1"/>
  <c r="AD20" i="1"/>
  <c r="AB20" i="1"/>
  <c r="Z20" i="1"/>
  <c r="X20" i="1"/>
  <c r="R20" i="1"/>
  <c r="P20" i="1"/>
  <c r="N20" i="1"/>
  <c r="J20" i="1"/>
  <c r="C21" i="11" s="1"/>
  <c r="D20" i="1"/>
  <c r="C21" i="9" s="1"/>
  <c r="AD19" i="1"/>
  <c r="AB19" i="1"/>
  <c r="Z19" i="1"/>
  <c r="X19" i="1"/>
  <c r="R19" i="1"/>
  <c r="N19" i="1"/>
  <c r="J19" i="1"/>
  <c r="D20" i="5" s="1"/>
  <c r="D19" i="1"/>
  <c r="C20" i="9" s="1"/>
  <c r="AD18" i="1"/>
  <c r="AB18" i="1"/>
  <c r="Z18" i="1"/>
  <c r="X18" i="1"/>
  <c r="R18" i="1"/>
  <c r="N18" i="1"/>
  <c r="J18" i="1"/>
  <c r="D19" i="5" s="1"/>
  <c r="D18" i="1"/>
  <c r="C19" i="9" s="1"/>
  <c r="AD17" i="1"/>
  <c r="AB17" i="1"/>
  <c r="Z17" i="1"/>
  <c r="X17" i="1"/>
  <c r="R17" i="1"/>
  <c r="N17" i="1"/>
  <c r="J17" i="1"/>
  <c r="C18" i="11" s="1"/>
  <c r="D17" i="1"/>
  <c r="C18" i="9" s="1"/>
  <c r="AD16" i="1"/>
  <c r="AB16" i="1"/>
  <c r="Z16" i="1"/>
  <c r="X16" i="1"/>
  <c r="R16" i="1"/>
  <c r="N16" i="1"/>
  <c r="J16" i="1"/>
  <c r="C17" i="11" s="1"/>
  <c r="D16" i="1"/>
  <c r="C17" i="9" s="1"/>
  <c r="AD15" i="1"/>
  <c r="Z15" i="1"/>
  <c r="X15" i="1"/>
  <c r="R15" i="1"/>
  <c r="N15" i="1"/>
  <c r="J15" i="1"/>
  <c r="D16" i="5" s="1"/>
  <c r="D15" i="1"/>
  <c r="C16" i="9" s="1"/>
  <c r="AD14" i="1"/>
  <c r="AB14" i="1"/>
  <c r="Z14" i="1"/>
  <c r="X14" i="1"/>
  <c r="R14" i="1"/>
  <c r="N14" i="1"/>
  <c r="J14" i="1"/>
  <c r="D15" i="5" s="1"/>
  <c r="D14" i="1"/>
  <c r="C15" i="9" s="1"/>
  <c r="AD13" i="1"/>
  <c r="AB13" i="1"/>
  <c r="Z13" i="1"/>
  <c r="W13" i="1"/>
  <c r="X13" i="1" s="1"/>
  <c r="R13" i="1"/>
  <c r="N13" i="1"/>
  <c r="J13" i="1"/>
  <c r="D14" i="5" s="1"/>
  <c r="D13" i="1"/>
  <c r="C14" i="9" s="1"/>
  <c r="AD12" i="1"/>
  <c r="AB12" i="1"/>
  <c r="Z12" i="1"/>
  <c r="X12" i="1"/>
  <c r="R12" i="1"/>
  <c r="N12" i="1"/>
  <c r="J12" i="1"/>
  <c r="C13" i="10" s="1"/>
  <c r="AD11" i="1"/>
  <c r="AB11" i="1"/>
  <c r="Z11" i="1"/>
  <c r="W11" i="1"/>
  <c r="X11" i="1" s="1"/>
  <c r="R11" i="1"/>
  <c r="P11" i="1"/>
  <c r="N11" i="1"/>
  <c r="J11" i="1"/>
  <c r="C12" i="11" s="1"/>
  <c r="D11" i="1"/>
  <c r="C12" i="9" s="1"/>
  <c r="AD10" i="1"/>
  <c r="AB10" i="1"/>
  <c r="Z10" i="1"/>
  <c r="W10" i="1"/>
  <c r="X10" i="1" s="1"/>
  <c r="R10" i="1"/>
  <c r="N10" i="1"/>
  <c r="J10" i="1"/>
  <c r="C11" i="11" s="1"/>
  <c r="D10" i="1"/>
  <c r="C11" i="8" s="1"/>
  <c r="AD9" i="1"/>
  <c r="AB9" i="1"/>
  <c r="Z9" i="1"/>
  <c r="X9" i="1"/>
  <c r="R9" i="1"/>
  <c r="P9" i="1"/>
  <c r="N9" i="1"/>
  <c r="J9" i="1"/>
  <c r="C10" i="11" s="1"/>
  <c r="D9" i="1"/>
  <c r="C10" i="9" s="1"/>
  <c r="AD8" i="1"/>
  <c r="AB8" i="1"/>
  <c r="Z8" i="1"/>
  <c r="X8" i="1"/>
  <c r="R8" i="1"/>
  <c r="N8" i="1"/>
  <c r="J8" i="1"/>
  <c r="C9" i="11" s="1"/>
  <c r="D8" i="1"/>
  <c r="C9" i="9" s="1"/>
  <c r="AD7" i="1"/>
  <c r="AB7" i="1"/>
  <c r="Z7" i="1"/>
  <c r="X7" i="1"/>
  <c r="R7" i="1"/>
  <c r="N7" i="1"/>
  <c r="J7" i="1"/>
  <c r="D8" i="5" s="1"/>
  <c r="D7" i="1"/>
  <c r="C8" i="9" s="1"/>
  <c r="AD6" i="1"/>
  <c r="AB6" i="1"/>
  <c r="Z6" i="1"/>
  <c r="X6" i="1"/>
  <c r="R6" i="1"/>
  <c r="P6" i="1"/>
  <c r="N6" i="1"/>
  <c r="J6" i="1"/>
  <c r="C7" i="11" s="1"/>
  <c r="D6" i="1"/>
  <c r="C7" i="9" s="1"/>
  <c r="AD5" i="1"/>
  <c r="AB5" i="1"/>
  <c r="Z5" i="1"/>
  <c r="X5" i="1"/>
  <c r="R5" i="1"/>
  <c r="N5" i="1"/>
  <c r="J5" i="1"/>
  <c r="C6" i="11" s="1"/>
  <c r="D5" i="1"/>
  <c r="C6" i="9" s="1"/>
  <c r="AD4" i="1"/>
  <c r="AB4" i="1"/>
  <c r="Z4" i="1"/>
  <c r="W4" i="1"/>
  <c r="X4" i="1" s="1"/>
  <c r="R4" i="1"/>
  <c r="N4" i="1"/>
  <c r="J4" i="1"/>
  <c r="C5" i="11" s="1"/>
  <c r="D4" i="1"/>
  <c r="C5" i="9" s="1"/>
  <c r="AD3" i="1"/>
  <c r="AB3" i="1"/>
  <c r="Z3" i="1"/>
  <c r="W3" i="1"/>
  <c r="X3" i="1" s="1"/>
  <c r="R3" i="1"/>
  <c r="N3" i="1"/>
  <c r="J3" i="1"/>
  <c r="D4" i="5" s="1"/>
  <c r="D3" i="1"/>
  <c r="C4" i="9" s="1"/>
  <c r="AD2" i="1"/>
  <c r="AB2" i="1"/>
  <c r="Z2" i="1"/>
  <c r="W2" i="1"/>
  <c r="X2" i="1" s="1"/>
  <c r="R2" i="1"/>
  <c r="N2" i="1"/>
  <c r="J2" i="1"/>
  <c r="D3" i="5" s="1"/>
  <c r="D2" i="1"/>
  <c r="C3" i="9" s="1"/>
  <c r="D5" i="5" l="1"/>
  <c r="D9" i="5"/>
  <c r="D13" i="5"/>
  <c r="D17" i="5"/>
  <c r="D21" i="5"/>
  <c r="D25" i="5"/>
  <c r="D29" i="5"/>
  <c r="D33" i="5"/>
  <c r="D37" i="5"/>
  <c r="D41" i="5"/>
  <c r="D45" i="5"/>
  <c r="D49" i="5"/>
  <c r="C6" i="8"/>
  <c r="C22" i="8"/>
  <c r="C38" i="8"/>
  <c r="C11" i="9"/>
  <c r="C27" i="9"/>
  <c r="C43" i="9"/>
  <c r="C8" i="10"/>
  <c r="C24" i="10"/>
  <c r="C40" i="10"/>
  <c r="C13" i="11"/>
  <c r="C29" i="11"/>
  <c r="C45" i="11"/>
  <c r="C17" i="8"/>
  <c r="C33" i="8"/>
  <c r="C3" i="10"/>
  <c r="C19" i="10"/>
  <c r="C35" i="10"/>
  <c r="C51" i="10"/>
  <c r="C59" i="10"/>
  <c r="C67" i="10"/>
  <c r="C75" i="10"/>
  <c r="C83" i="10"/>
  <c r="C91" i="10"/>
  <c r="C8" i="11"/>
  <c r="C24" i="11"/>
  <c r="C40" i="11"/>
  <c r="C12" i="8"/>
  <c r="C28" i="8"/>
  <c r="C44" i="8"/>
  <c r="C14" i="10"/>
  <c r="C30" i="10"/>
  <c r="C46" i="10"/>
  <c r="C3" i="11"/>
  <c r="C19" i="11"/>
  <c r="C35" i="11"/>
  <c r="C7" i="8"/>
  <c r="C23" i="8"/>
  <c r="C39" i="8"/>
  <c r="C9" i="10"/>
  <c r="C25" i="10"/>
  <c r="C41" i="10"/>
  <c r="C52" i="10"/>
  <c r="C60" i="10"/>
  <c r="C68" i="10"/>
  <c r="C76" i="10"/>
  <c r="C84" i="10"/>
  <c r="C92" i="10"/>
  <c r="C14" i="11"/>
  <c r="C30" i="11"/>
  <c r="C46" i="11"/>
  <c r="D6" i="5"/>
  <c r="D10" i="5"/>
  <c r="D18" i="5"/>
  <c r="D22" i="5"/>
  <c r="D26" i="5"/>
  <c r="D34" i="5"/>
  <c r="D38" i="5"/>
  <c r="D42" i="5"/>
  <c r="D50" i="5"/>
  <c r="C18" i="8"/>
  <c r="C34" i="8"/>
  <c r="C4" i="10"/>
  <c r="C20" i="10"/>
  <c r="C36" i="10"/>
  <c r="C29" i="8"/>
  <c r="C15" i="10"/>
  <c r="C31" i="10"/>
  <c r="C47" i="10"/>
  <c r="C53" i="10"/>
  <c r="C61" i="10"/>
  <c r="C69" i="10"/>
  <c r="C77" i="10"/>
  <c r="C85" i="10"/>
  <c r="C93" i="10"/>
  <c r="C4" i="11"/>
  <c r="C20" i="11"/>
  <c r="C36" i="11"/>
  <c r="C8" i="8"/>
  <c r="C40" i="8"/>
  <c r="C10" i="10"/>
  <c r="C26" i="10"/>
  <c r="C42" i="10"/>
  <c r="C15" i="11"/>
  <c r="C31" i="11"/>
  <c r="C47" i="11"/>
  <c r="C3" i="8"/>
  <c r="C19" i="8"/>
  <c r="C35" i="8"/>
  <c r="C5" i="10"/>
  <c r="C21" i="10"/>
  <c r="C37" i="10"/>
  <c r="C54" i="10"/>
  <c r="C62" i="10"/>
  <c r="C70" i="10"/>
  <c r="C78" i="10"/>
  <c r="C86" i="10"/>
  <c r="C94" i="10"/>
  <c r="D7" i="5"/>
  <c r="D11" i="5"/>
  <c r="D23" i="5"/>
  <c r="D27" i="5"/>
  <c r="D39" i="5"/>
  <c r="D43" i="5"/>
  <c r="C14" i="8"/>
  <c r="C16" i="10"/>
  <c r="C32" i="10"/>
  <c r="C48" i="10"/>
  <c r="C9" i="8"/>
  <c r="C25" i="8"/>
  <c r="C41" i="8"/>
  <c r="C11" i="10"/>
  <c r="C27" i="10"/>
  <c r="C43" i="10"/>
  <c r="C55" i="10"/>
  <c r="C63" i="10"/>
  <c r="C71" i="10"/>
  <c r="C79" i="10"/>
  <c r="C87" i="10"/>
  <c r="C95" i="10"/>
  <c r="C16" i="11"/>
  <c r="C32" i="11"/>
  <c r="C48" i="11"/>
  <c r="C4" i="8"/>
  <c r="C20" i="8"/>
  <c r="C36" i="8"/>
  <c r="C6" i="10"/>
  <c r="C22" i="10"/>
  <c r="C38" i="10"/>
  <c r="C15" i="8"/>
  <c r="C31" i="8"/>
  <c r="C17" i="10"/>
  <c r="C33" i="10"/>
  <c r="C49" i="10"/>
  <c r="C56" i="10"/>
  <c r="C64" i="10"/>
  <c r="C72" i="10"/>
  <c r="C80" i="10"/>
  <c r="C88" i="10"/>
  <c r="C96" i="10"/>
  <c r="D12" i="5"/>
  <c r="D28" i="5"/>
  <c r="D44" i="5"/>
  <c r="C10" i="8"/>
  <c r="C26" i="8"/>
  <c r="C42" i="8"/>
  <c r="C12" i="10"/>
  <c r="C28" i="10"/>
  <c r="C44" i="10"/>
  <c r="C5" i="8"/>
  <c r="C21" i="8"/>
  <c r="C37" i="8"/>
  <c r="C7" i="10"/>
  <c r="C23" i="10"/>
  <c r="C39" i="10"/>
  <c r="C57" i="10"/>
  <c r="C65" i="10"/>
  <c r="C73" i="10"/>
  <c r="C81" i="10"/>
  <c r="C89" i="10"/>
  <c r="C97" i="10"/>
  <c r="C16" i="8"/>
  <c r="C32" i="8"/>
  <c r="C18" i="10"/>
  <c r="C34" i="10"/>
  <c r="C50" i="10"/>
  <c r="C58" i="10"/>
  <c r="C66" i="10"/>
  <c r="C74" i="10"/>
  <c r="C82" i="10"/>
  <c r="C90" i="10"/>
  <c r="C98" i="10"/>
</calcChain>
</file>

<file path=xl/sharedStrings.xml><?xml version="1.0" encoding="utf-8"?>
<sst xmlns="http://schemas.openxmlformats.org/spreadsheetml/2006/main" count="3111" uniqueCount="708">
  <si>
    <t>order</t>
  </si>
  <si>
    <t>count x cond</t>
  </si>
  <si>
    <t>item</t>
  </si>
  <si>
    <t>norsk_name</t>
  </si>
  <si>
    <t>nsl_id_gloss</t>
  </si>
  <si>
    <t>NSL_sign_start</t>
  </si>
  <si>
    <t>nsl sign</t>
  </si>
  <si>
    <t>label check</t>
  </si>
  <si>
    <t>rsl_id_gloss</t>
  </si>
  <si>
    <t>rsl_name</t>
  </si>
  <si>
    <t>RSL_sign_start</t>
  </si>
  <si>
    <t>rsl sign</t>
  </si>
  <si>
    <t>NSL motivation</t>
  </si>
  <si>
    <t>picture_name1</t>
  </si>
  <si>
    <t>RSL motivation</t>
  </si>
  <si>
    <t>motivation match</t>
  </si>
  <si>
    <t>control image</t>
  </si>
  <si>
    <t>picture_name2</t>
  </si>
  <si>
    <t>wordclass</t>
  </si>
  <si>
    <t>boundedness</t>
  </si>
  <si>
    <t>plurality</t>
  </si>
  <si>
    <t>homophone</t>
  </si>
  <si>
    <t>NSL frequency</t>
  </si>
  <si>
    <t>nsl_log</t>
  </si>
  <si>
    <t>Norwegian_Frequency</t>
  </si>
  <si>
    <t>norsk_log</t>
  </si>
  <si>
    <t>RSL frequency</t>
  </si>
  <si>
    <t>rsl_log</t>
  </si>
  <si>
    <t>Russian_Frequency</t>
  </si>
  <si>
    <t>rusisk_log</t>
  </si>
  <si>
    <t>boy</t>
  </si>
  <si>
    <t>gutt</t>
  </si>
  <si>
    <t>https://www.minetegn.no/Tegnordbok-HTML/videos/gutt.mp4</t>
  </si>
  <si>
    <t>y</t>
  </si>
  <si>
    <t>мальчик</t>
  </si>
  <si>
    <t>https://media.spreadthesign.com/video/mp4/12/4095.mp4</t>
  </si>
  <si>
    <t>boy with a cap</t>
  </si>
  <si>
    <t>cap</t>
  </si>
  <si>
    <t>match</t>
  </si>
  <si>
    <t>young boy standing without a cap</t>
  </si>
  <si>
    <t>noun</t>
  </si>
  <si>
    <t>animate</t>
  </si>
  <si>
    <t>concrete</t>
  </si>
  <si>
    <t>near</t>
  </si>
  <si>
    <t>children</t>
  </si>
  <si>
    <t>barn</t>
  </si>
  <si>
    <t>https://www.minetegn.no/Tegnordbok-HTML/videos/barn.mp4</t>
  </si>
  <si>
    <t>дети</t>
  </si>
  <si>
    <t>https://media.spreadthesign.com/video/mp4/12/16508.mp4</t>
  </si>
  <si>
    <t>hands on heads of children at waist level</t>
  </si>
  <si>
    <t>short heads</t>
  </si>
  <si>
    <t>young boys playing with cars</t>
  </si>
  <si>
    <t>exact</t>
  </si>
  <si>
    <t>eagle</t>
  </si>
  <si>
    <t>ørn</t>
  </si>
  <si>
    <t>https://www.minetegn.no/Tegnordbok-HTML/videos/oern.mp4</t>
  </si>
  <si>
    <t>орёл</t>
  </si>
  <si>
    <t>https://media.spreadthesign.com/video/mp4/12/13640.mp4</t>
  </si>
  <si>
    <t>eagle with focus on beak</t>
  </si>
  <si>
    <t>eagle with focus on wings</t>
  </si>
  <si>
    <t>family</t>
  </si>
  <si>
    <t>familie</t>
  </si>
  <si>
    <t>https://www.minetegn.no/Tegnordbok-HTML/videos/familie.mp4</t>
  </si>
  <si>
    <t>семья</t>
  </si>
  <si>
    <t>https://media.spreadthesign.com/video/mp4/12/43684.mp4</t>
  </si>
  <si>
    <t>parents and children holding hands in a ring</t>
  </si>
  <si>
    <t>parents and children holding hands in a line</t>
  </si>
  <si>
    <t>breathe</t>
  </si>
  <si>
    <t>puste</t>
  </si>
  <si>
    <t>https://www.minetegn.no/Tegnordbok-HTML/videos/puste.mp4</t>
  </si>
  <si>
    <t>дышать</t>
  </si>
  <si>
    <t>https://media.spreadthesign.com/video/mp4/12/180136.mp4</t>
  </si>
  <si>
    <t>chest movement while breathing</t>
  </si>
  <si>
    <t>breath coming out of mouth</t>
  </si>
  <si>
    <t>verb</t>
  </si>
  <si>
    <t>atelic</t>
  </si>
  <si>
    <t>intrans</t>
  </si>
  <si>
    <t>cry</t>
  </si>
  <si>
    <t>gråte</t>
  </si>
  <si>
    <t>https://www.minetegn.no/Tegnordbok-HTML/videos/graate-1.mp4</t>
  </si>
  <si>
    <t>плакать</t>
  </si>
  <si>
    <t>https://media.spreadthesign.com/video/mp4/12/18934.mp4</t>
  </si>
  <si>
    <t>tears running down cheek</t>
  </si>
  <si>
    <t>comic book tears and anguished face</t>
  </si>
  <si>
    <t>hold head in hands crying</t>
  </si>
  <si>
    <t>run</t>
  </si>
  <si>
    <t>løpe</t>
  </si>
  <si>
    <t>https://www.minetegn.no/Tegnordbok-HTML/videos/loepe-2.mp4</t>
  </si>
  <si>
    <t>бежать</t>
  </si>
  <si>
    <t>https://media.spreadthesign.com/video/mp4/12/15558.mp4</t>
  </si>
  <si>
    <t>legs running</t>
  </si>
  <si>
    <t>legs</t>
  </si>
  <si>
    <t>upperbody running</t>
  </si>
  <si>
    <t>sing</t>
  </si>
  <si>
    <t>synge</t>
  </si>
  <si>
    <t>https://www.minetegn.no/Tegnordbok-HTML/videos/synge.mp4</t>
  </si>
  <si>
    <t>петь</t>
  </si>
  <si>
    <t>https://media.spreadthesign.com/video/mp4/12/24057.mp4</t>
  </si>
  <si>
    <t>moving hands with tempo</t>
  </si>
  <si>
    <t>singing into microphone</t>
  </si>
  <si>
    <t>think</t>
  </si>
  <si>
    <t>tror</t>
  </si>
  <si>
    <t>https://www.minetegn.no/Tegnordbok-HTML/videos/tror.mp4</t>
  </si>
  <si>
    <t>думать</t>
  </si>
  <si>
    <t>https://media.spreadthesign.com/video/mp4/12/4904.mp4</t>
  </si>
  <si>
    <t>tapping head</t>
  </si>
  <si>
    <t>tap head</t>
  </si>
  <si>
    <t>head tilted to side thinking</t>
  </si>
  <si>
    <t>paint</t>
  </si>
  <si>
    <t>male</t>
  </si>
  <si>
    <t>https://www.minetegn.no/Tegnordbok-HTML/videos/male-2.mp4</t>
  </si>
  <si>
    <t>рисовать</t>
  </si>
  <si>
    <t>https://media.spreadthesign.com/video/mp4/12/16802.mp4</t>
  </si>
  <si>
    <t>paint (holding a paintbrush)</t>
  </si>
  <si>
    <t>paint a wall</t>
  </si>
  <si>
    <t>trans</t>
  </si>
  <si>
    <t>watch</t>
  </si>
  <si>
    <t>Se-på.mp4</t>
  </si>
  <si>
    <t>se-på</t>
  </si>
  <si>
    <t>https://www.minetegn.no/Tegnordbok-HTML/videos/se.mp4</t>
  </si>
  <si>
    <t>смотреть</t>
  </si>
  <si>
    <t>https://media.spreadthesign.com/video/mp4/12/16969.mp4</t>
  </si>
  <si>
    <t>eyes looking</t>
  </si>
  <si>
    <t>magnifying glass</t>
  </si>
  <si>
    <t>write</t>
  </si>
  <si>
    <t>skrive</t>
  </si>
  <si>
    <t>https://www.minetegn.no/Tegnordbok-HTML/videos/skrive.mp4</t>
  </si>
  <si>
    <t>писать</t>
  </si>
  <si>
    <t>https://media.spreadthesign.com/video/mp4/12/5223.mp4</t>
  </si>
  <si>
    <t>holding a pen and writing</t>
  </si>
  <si>
    <r>
      <rPr>
        <sz val="10"/>
        <color theme="1"/>
        <rFont val="Arial"/>
      </rPr>
      <t>cursive word in lines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from writers perspective</t>
    </r>
  </si>
  <si>
    <t>beauty</t>
  </si>
  <si>
    <t>pen</t>
  </si>
  <si>
    <t>https://www.minetegn.no/Tegnordbok-HTML/videos/pen.mp4</t>
  </si>
  <si>
    <t>красота</t>
  </si>
  <si>
    <t>https://media.spreadthesign.com/video/mp4/12/181826.mp4</t>
  </si>
  <si>
    <t>nice face</t>
  </si>
  <si>
    <t>flowers</t>
  </si>
  <si>
    <t>inanimate</t>
  </si>
  <si>
    <t>abstract</t>
  </si>
  <si>
    <t>change</t>
  </si>
  <si>
    <t>endring</t>
  </si>
  <si>
    <t>https://www.minetegn.no/Tegnordbok-HTML/videos/endre-ing.mp4</t>
  </si>
  <si>
    <t>изменение</t>
  </si>
  <si>
    <t>https://media.spreadthesign.com/video/mp4/12/5786.mp4</t>
  </si>
  <si>
    <t>rotation of haircuts on a girl</t>
  </si>
  <si>
    <t>rotation</t>
  </si>
  <si>
    <t>butterfly metamorphosis</t>
  </si>
  <si>
    <t>book</t>
  </si>
  <si>
    <t>bok</t>
  </si>
  <si>
    <t>https://www.minetegn.no/Tegnordbok-HTML/videos/bok.mp4</t>
  </si>
  <si>
    <t>книга</t>
  </si>
  <si>
    <t>https://media.spreadthesign.com/video/mp4/12/18692.mp4</t>
  </si>
  <si>
    <t>book that is open</t>
  </si>
  <si>
    <t>opening a book</t>
  </si>
  <si>
    <t>closed book on a table</t>
  </si>
  <si>
    <t>coffee</t>
  </si>
  <si>
    <t>kaffe</t>
  </si>
  <si>
    <t>https://www.minetegn.no/Tegnordbok-HTML/videos/kaffe.mp4</t>
  </si>
  <si>
    <t>кофе</t>
  </si>
  <si>
    <t>https://media.spreadthesign.com/video/mp4/12/8207.mp4</t>
  </si>
  <si>
    <t>grinding beans with a hand grinder</t>
  </si>
  <si>
    <t>grinding beans</t>
  </si>
  <si>
    <t>steaming cup of coffee</t>
  </si>
  <si>
    <t>cigar</t>
  </si>
  <si>
    <t>sigar</t>
  </si>
  <si>
    <t>https://www.minetegn.no/Tegnordbok-HTML/videos/sigar.mp4</t>
  </si>
  <si>
    <t>чашка</t>
  </si>
  <si>
    <t>https://media.spreadthesign.com/video/mp4/12/99766.mp4</t>
  </si>
  <si>
    <t>cigar held at mouth</t>
  </si>
  <si>
    <t>cigar held away from mouth</t>
  </si>
  <si>
    <t>flower</t>
  </si>
  <si>
    <t>blomst</t>
  </si>
  <si>
    <t>https://www.minetegn.no/Tegnordbok-HTML/videos/blomst-1.mp4</t>
  </si>
  <si>
    <t>цветок</t>
  </si>
  <si>
    <t>https://media.spreadthesign.com/video/mp4/12/13929.mp4</t>
  </si>
  <si>
    <t>scent coming to nose from a flower</t>
  </si>
  <si>
    <t>a single flower in a pot</t>
  </si>
  <si>
    <t>metal</t>
  </si>
  <si>
    <t>metall</t>
  </si>
  <si>
    <t>https://www.minetegn.no/Tegnordbok-HTML/videos/metall.mp4</t>
  </si>
  <si>
    <t>металл</t>
  </si>
  <si>
    <t>https://media.spreadthesign.com/video/mp4/12/176203.mp4</t>
  </si>
  <si>
    <t>smith hitting metal</t>
  </si>
  <si>
    <t>shiny metal surface</t>
  </si>
  <si>
    <t>telephone</t>
  </si>
  <si>
    <t>telefon</t>
  </si>
  <si>
    <t>https://www.minetegn.no/Tegnordbok-HTML/videos/telefon.mp4</t>
  </si>
  <si>
    <t>телефон</t>
  </si>
  <si>
    <t>https://media.spreadthesign.com/video/mp4/12/13844.mp4</t>
  </si>
  <si>
    <t>shape of the receiver</t>
  </si>
  <si>
    <t>phone in a phonebooth</t>
  </si>
  <si>
    <t>jump</t>
  </si>
  <si>
    <t>hoppe</t>
  </si>
  <si>
    <t>https://www.minetegn.no/Tegnordbok-HTML/videos/hoppe-opp-og-ned.mp4</t>
  </si>
  <si>
    <t>прыгать</t>
  </si>
  <si>
    <t>https://media.spreadthesign.com/video/mp4/12/19434.mp4</t>
  </si>
  <si>
    <t>legs jumping up</t>
  </si>
  <si>
    <t>jumping over somthing</t>
  </si>
  <si>
    <t>telic</t>
  </si>
  <si>
    <t>leave</t>
  </si>
  <si>
    <t>Stikke-av.mp4</t>
  </si>
  <si>
    <t>stikke-av</t>
  </si>
  <si>
    <t>https://www.minetegn.no/Tegnordbok-HTML/videos/dra.mp4</t>
  </si>
  <si>
    <t>уйти</t>
  </si>
  <si>
    <t>https://media.spreadthesign.com/video/mp4/12/4996.mp4</t>
  </si>
  <si>
    <t>figure moving away and getting smaller</t>
  </si>
  <si>
    <t>going out a door</t>
  </si>
  <si>
    <t>lose</t>
  </si>
  <si>
    <t>miste</t>
  </si>
  <si>
    <t>https://www.minetegn.no/Tegnordbok-HTML/videos/miste.mp4</t>
  </si>
  <si>
    <t>терять</t>
  </si>
  <si>
    <t>https://youtu.be/OWNW0gJdFf8</t>
  </si>
  <si>
    <t>dropping plates</t>
  </si>
  <si>
    <t>dropping</t>
  </si>
  <si>
    <t>searching for something</t>
  </si>
  <si>
    <t>take</t>
  </si>
  <si>
    <t>ta</t>
  </si>
  <si>
    <t>https://www.minetegn.no/Tegnordbok-HTML/videos/ta.mp4</t>
  </si>
  <si>
    <t>взять</t>
  </si>
  <si>
    <t>https://media.spreadthesign.com/video/mp4/12/5685.mp4</t>
  </si>
  <si>
    <t>taking hand (grasp)</t>
  </si>
  <si>
    <t>pinch by taking up an object</t>
  </si>
  <si>
    <t>frog</t>
  </si>
  <si>
    <t>frosk</t>
  </si>
  <si>
    <t>https://www.minetegn.no/Tegnordbok-HTML/videos/frosk.mp4</t>
  </si>
  <si>
    <t>лягушка</t>
  </si>
  <si>
    <t>https://media.spreadthesign.com/video/mp4/12/13598.mp4</t>
  </si>
  <si>
    <t>vocal sack</t>
  </si>
  <si>
    <t>spadefoots (maybe show full frog)</t>
  </si>
  <si>
    <t>nomatch</t>
  </si>
  <si>
    <t>na</t>
  </si>
  <si>
    <t>different</t>
  </si>
  <si>
    <t>gorilla</t>
  </si>
  <si>
    <t>https://www.minetegn.no/Tegnordbok-HTML/videos/gorilla.mp4</t>
  </si>
  <si>
    <t>горилла</t>
  </si>
  <si>
    <t>https://media.spreadthesign.com/video/mp4/12/295313.mp4</t>
  </si>
  <si>
    <t>gorilla beating chest</t>
  </si>
  <si>
    <t>gorilla doing a flex</t>
  </si>
  <si>
    <t>come</t>
  </si>
  <si>
    <t>komme</t>
  </si>
  <si>
    <t>https://www.minetegn.no/Tegnbanken-2016/data/hendene/komme-a.jpg</t>
  </si>
  <si>
    <t>прийти</t>
  </si>
  <si>
    <t>https://media.spreadthesign.com/video/mp4/12/5177.mp4</t>
  </si>
  <si>
    <t>hand gesture</t>
  </si>
  <si>
    <t>legs + orientation change</t>
  </si>
  <si>
    <t>sail</t>
  </si>
  <si>
    <t>Seil-båt.mp4</t>
  </si>
  <si>
    <t>seil-båt</t>
  </si>
  <si>
    <t>https://www.minetegn.no/Tegnordbok-HTML/videos/seil.mp4</t>
  </si>
  <si>
    <t>плыть лодка</t>
  </si>
  <si>
    <t>https://media.spreadthesign.com/video/mp4/12/319932.mp4</t>
  </si>
  <si>
    <t>a sail moving forward</t>
  </si>
  <si>
    <t>a hull moving forward</t>
  </si>
  <si>
    <t>travel</t>
  </si>
  <si>
    <t>reise</t>
  </si>
  <si>
    <t>https://www.minetegn.no/Tegnordbok-HTML/videos/reise-2.mp4</t>
  </si>
  <si>
    <t>путешествовать</t>
  </si>
  <si>
    <t>https://media.spreadthesign.com/video/mp4/12/17689.mp4</t>
  </si>
  <si>
    <t>sitting while traveling</t>
  </si>
  <si>
    <t>moving from one city to another</t>
  </si>
  <si>
    <t>doubt</t>
  </si>
  <si>
    <t>skeptisk</t>
  </si>
  <si>
    <t>https://www.minetegn.no/Tegnordbok-HTML/videos/skeptisk.mp4</t>
  </si>
  <si>
    <t>сомневаться</t>
  </si>
  <si>
    <t>https://media.spreadthesign.com/video/mp4/12/15759.mp4</t>
  </si>
  <si>
    <t>rubbing chin</t>
  </si>
  <si>
    <t>think + scales</t>
  </si>
  <si>
    <t>play</t>
  </si>
  <si>
    <t>spille</t>
  </si>
  <si>
    <t>https://www.minetegn.no/Tegnordbok-HTML/videos/spille-brettspill-2.mp4</t>
  </si>
  <si>
    <t>играть</t>
  </si>
  <si>
    <t>https://media.spreadthesign.com/video/mp4/12/4676.mp4</t>
  </si>
  <si>
    <t>chess/checkers</t>
  </si>
  <si>
    <t xml:space="preserve">playing with dolls </t>
  </si>
  <si>
    <t>engagement</t>
  </si>
  <si>
    <t>forlovet</t>
  </si>
  <si>
    <t>https://www.minetegn.no/Tegnordbok-HTML/videos/forlovet.mp4</t>
  </si>
  <si>
    <t>помолвка</t>
  </si>
  <si>
    <t>https://media.spreadthesign.com/video/mp4/12/319872.mp4</t>
  </si>
  <si>
    <t>two people in wedding attire kissing</t>
  </si>
  <si>
    <t>placing an engagement ring</t>
  </si>
  <si>
    <t>color</t>
  </si>
  <si>
    <t>farge</t>
  </si>
  <si>
    <t>https://www.minetegn.no/Tegnordbok-HTML/videos/farge-1.mp4</t>
  </si>
  <si>
    <t>цвет</t>
  </si>
  <si>
    <t>https://media.spreadthesign.com/video/mp4/12/351382.mp4</t>
  </si>
  <si>
    <t>dyed fabric</t>
  </si>
  <si>
    <t>applying rouge</t>
  </si>
  <si>
    <t>east</t>
  </si>
  <si>
    <t>øst</t>
  </si>
  <si>
    <t>https://www.minetegn.no/Tegnordbok-HTML/videos/oest-retning-2.mp4</t>
  </si>
  <si>
    <t>восток</t>
  </si>
  <si>
    <t>https://media.spreadthesign.com/video/mp4/12/17900.mp4</t>
  </si>
  <si>
    <t>movement right</t>
  </si>
  <si>
    <t>sun rising</t>
  </si>
  <si>
    <t>school</t>
  </si>
  <si>
    <t>skole</t>
  </si>
  <si>
    <t>https://www.minetegn.no/Tegnordbok-HTML/videos/skole.mp4</t>
  </si>
  <si>
    <t>школа</t>
  </si>
  <si>
    <t>https://media.spreadthesign.com/video/mp4/12/12914.mp4</t>
  </si>
  <si>
    <t>reading a book in front of your face</t>
  </si>
  <si>
    <t>large institute/rectangular shape</t>
  </si>
  <si>
    <t>pain</t>
  </si>
  <si>
    <t>vondt</t>
  </si>
  <si>
    <t>https://www.minetegn.no/Tegnordbok-HTML/videos/vondt-2.mp4</t>
  </si>
  <si>
    <t>боль</t>
  </si>
  <si>
    <t>https://media.spreadthesign.com/video/mp4/12/4439.mp4</t>
  </si>
  <si>
    <t>pained face from chest pain</t>
  </si>
  <si>
    <t>pained face from nail sticking hand</t>
  </si>
  <si>
    <t>cabbage</t>
  </si>
  <si>
    <t>kåle</t>
  </si>
  <si>
    <t>https://www.minetegn.no/Tegnordbok-HTML/videos/kael.mp4</t>
  </si>
  <si>
    <t>капуста</t>
  </si>
  <si>
    <t>https://media.spreadthesign.com/video/mp4/12/7724.mp4</t>
  </si>
  <si>
    <t>shape of cabbage</t>
  </si>
  <si>
    <t>cutting cabbage</t>
  </si>
  <si>
    <t>doll</t>
  </si>
  <si>
    <t>dukke</t>
  </si>
  <si>
    <t>https://www.minetegn.no/Tegnordbok-HTML/videos/dukke-2.mp4</t>
  </si>
  <si>
    <t>кукла</t>
  </si>
  <si>
    <t>https://media.spreadthesign.com/video/mp4/12/19015.mp4</t>
  </si>
  <si>
    <t>holding doll</t>
  </si>
  <si>
    <t>head of the doll</t>
  </si>
  <si>
    <t>magazine</t>
  </si>
  <si>
    <t>dagbladet</t>
  </si>
  <si>
    <t>https://www.minetegn.no/Tegnordbok-HTML/videos/dagbladet.mp4</t>
  </si>
  <si>
    <t>журнал</t>
  </si>
  <si>
    <t>https://media.spreadthesign.com/video/mp4/12/13863.mp4</t>
  </si>
  <si>
    <t>an open magazine</t>
  </si>
  <si>
    <t>many pages in a magazine</t>
  </si>
  <si>
    <t>ring</t>
  </si>
  <si>
    <t>sirkel</t>
  </si>
  <si>
    <t>https://www.minetegn.no/Tegnordbok-HTML/videos/sirkel.mp4</t>
  </si>
  <si>
    <t>круг</t>
  </si>
  <si>
    <t>https://media.spreadthesign.com/video/mp4/12/351415.mp4</t>
  </si>
  <si>
    <t>ring shape horizontal</t>
  </si>
  <si>
    <t xml:space="preserve">ring shape vertical </t>
  </si>
  <si>
    <t>salt</t>
  </si>
  <si>
    <t>https://www.minetegn.no/Tegnordbok-HTML/videos/salt.mp4</t>
  </si>
  <si>
    <t>соль</t>
  </si>
  <si>
    <t>https://media.spreadthesign.com/video/mp4/12/11335.mp4</t>
  </si>
  <si>
    <t>spice shaker</t>
  </si>
  <si>
    <t>spread with fingers</t>
  </si>
  <si>
    <t>sneeze</t>
  </si>
  <si>
    <t>nyse</t>
  </si>
  <si>
    <t>https://www.minetegn.no/Tegnordbok-HTML/videos/nyse.mp4</t>
  </si>
  <si>
    <t>чихать</t>
  </si>
  <si>
    <t>https://media.spreadthesign.com/video/mp4/12/320886.mp4</t>
  </si>
  <si>
    <t>snot out of nose</t>
  </si>
  <si>
    <t>holding in a sneeze</t>
  </si>
  <si>
    <t>try</t>
  </si>
  <si>
    <t>prøve</t>
  </si>
  <si>
    <t>https://www.minetegn.no/Tegnordbok-HTML/videos/proeve-1.mp4</t>
  </si>
  <si>
    <t>пробовать</t>
  </si>
  <si>
    <t>https://media.spreadthesign.com/video/mp4/12/5342.mp4</t>
  </si>
  <si>
    <t>smelling something</t>
  </si>
  <si>
    <t>tasting something to see what it's like</t>
  </si>
  <si>
    <t>wait</t>
  </si>
  <si>
    <t>vente</t>
  </si>
  <si>
    <t>https://www.minetegn.no/Tegnordbok-HTML/videos/vente.mp4</t>
  </si>
  <si>
    <t>ждать</t>
  </si>
  <si>
    <t>https://media.spreadthesign.com/video/mp4/43/390093.mp4</t>
  </si>
  <si>
    <t>gesturing to hold back</t>
  </si>
  <si>
    <t>person standing on guard (with a rifle)</t>
  </si>
  <si>
    <t>call</t>
  </si>
  <si>
    <t>rope</t>
  </si>
  <si>
    <t>https://www.minetegn.no/Tegnordbok-HTML/videos/rope.mp4</t>
  </si>
  <si>
    <t>звать</t>
  </si>
  <si>
    <t>https://media.spreadthesign.com/video/mp4/12/225123.mp4</t>
  </si>
  <si>
    <t>shouting for someone</t>
  </si>
  <si>
    <t>tapping on the shoulder</t>
  </si>
  <si>
    <t>choose</t>
  </si>
  <si>
    <t>velge</t>
  </si>
  <si>
    <t>https://www.minetegn.no/Tegnordbok-HTML/videos/velge.mp4</t>
  </si>
  <si>
    <t>выбирать</t>
  </si>
  <si>
    <t>https://media.spreadthesign.com/video/mp4/12/43563.mp4</t>
  </si>
  <si>
    <t>selecting from alternatives</t>
  </si>
  <si>
    <t>pick up something from a table</t>
  </si>
  <si>
    <t>show</t>
  </si>
  <si>
    <t>vise</t>
  </si>
  <si>
    <t>https://www.minetegn.no/Tegnordbok-HTML/videos/vise.mp4</t>
  </si>
  <si>
    <t>показать</t>
  </si>
  <si>
    <t>https://media.spreadthesign.com/video/mp4/12/20073.mp4</t>
  </si>
  <si>
    <t>giving hands</t>
  </si>
  <si>
    <t>looking at something shown</t>
  </si>
  <si>
    <t>win</t>
  </si>
  <si>
    <t>vinne</t>
  </si>
  <si>
    <t>https://www.minetegn.no/Tegnordbok-HTML/videos/vinne.mp4</t>
  </si>
  <si>
    <t>победить</t>
  </si>
  <si>
    <t>https://media.spreadthesign.com/video/mp4/12/16003.mp4</t>
  </si>
  <si>
    <t>top of the podium</t>
  </si>
  <si>
    <t>knocking over an opponent</t>
  </si>
  <si>
    <t>display</t>
  </si>
  <si>
    <t>norsk_video</t>
  </si>
  <si>
    <t>picture_name</t>
  </si>
  <si>
    <t>Instructions</t>
  </si>
  <si>
    <t>trial</t>
  </si>
  <si>
    <t>storage</t>
  </si>
  <si>
    <t>End</t>
  </si>
  <si>
    <t>video_name</t>
  </si>
  <si>
    <t>norwegian</t>
  </si>
  <si>
    <t>nsl</t>
  </si>
  <si>
    <t>nsl_name</t>
  </si>
  <si>
    <t>russian</t>
  </si>
  <si>
    <t>draw</t>
  </si>
  <si>
    <t>tegne</t>
  </si>
  <si>
    <t>https://www.minetegn.no/Tegnordbok-HTML/videos/tegne.mp4</t>
  </si>
  <si>
    <t>https://media.spreadthesign.com/video/mp4/12/16819.mp4</t>
  </si>
  <si>
    <t>football</t>
  </si>
  <si>
    <t>fotball</t>
  </si>
  <si>
    <t>https://www.minetegn.no/Tegnordbok-HTML/videos/fotball.mp4</t>
  </si>
  <si>
    <t>футбол</t>
  </si>
  <si>
    <t>https://media.spreadthesign.com/video/mp4/12/4614.mp4</t>
  </si>
  <si>
    <t>street</t>
  </si>
  <si>
    <t>gate</t>
  </si>
  <si>
    <t>https://www.minetegn.no/Tegnordbok-HTML/videos/gate.mp4</t>
  </si>
  <si>
    <t>улица</t>
  </si>
  <si>
    <t>https://media.spreadthesign.com/video/mp4/12/15370.mp4</t>
  </si>
  <si>
    <t>talk</t>
  </si>
  <si>
    <t>snakke</t>
  </si>
  <si>
    <t>https://www.minetegn.no/Tegnordbok-HTML/videos/snakke.mp4</t>
  </si>
  <si>
    <t>разговаривать</t>
  </si>
  <si>
    <t>https://media.spreadthesign.com/video/mp4/13/50902.mp4</t>
  </si>
  <si>
    <t>church</t>
  </si>
  <si>
    <t>kirke</t>
  </si>
  <si>
    <t>https://www.minetegn.no/Tegnordbok-HTML/videos/kirke.mp4</t>
  </si>
  <si>
    <t>церковь</t>
  </si>
  <si>
    <t>https://media.spreadthesign.com/video/mp4/12/31703.mp4</t>
  </si>
  <si>
    <t>invite</t>
  </si>
  <si>
    <t>invitere</t>
  </si>
  <si>
    <t>https://www.minetegn.no/Tegnordbok-HTML/videos/invitere.mp4</t>
  </si>
  <si>
    <t>приглашать</t>
  </si>
  <si>
    <t>https://media.spreadthesign.com/video/mp4/12/5119.mp4</t>
  </si>
  <si>
    <t>earth</t>
  </si>
  <si>
    <t>jord</t>
  </si>
  <si>
    <t>https://www.minetegn.no/Tegnordbok-HTML/videos/jord-2.mp4</t>
  </si>
  <si>
    <t>земля</t>
  </si>
  <si>
    <t>https://media.spreadthesign.com/video/mp4/12/17154.mp4</t>
  </si>
  <si>
    <t>move</t>
  </si>
  <si>
    <t>flytte</t>
  </si>
  <si>
    <t>https://www.minetegn.no/Tegnordbok-HTML/videos/flytte-2.mp4</t>
  </si>
  <si>
    <t>двигаться</t>
  </si>
  <si>
    <t>https://media.spreadthesign.com/video/mp4/12/43293.mp4</t>
  </si>
  <si>
    <t>die</t>
  </si>
  <si>
    <t>dø</t>
  </si>
  <si>
    <t>https://www.minetegn.no/Tegnordbok-HTML/videos/doe.mp4</t>
  </si>
  <si>
    <t>умереть</t>
  </si>
  <si>
    <t>https://media.spreadthesign.com/video/mp4/12/16417.mp4</t>
  </si>
  <si>
    <t>meat</t>
  </si>
  <si>
    <t>kjøtt</t>
  </si>
  <si>
    <t>https://www.minetegn.no/Tegnordbok-HTML/videos/kjoett.mp4</t>
  </si>
  <si>
    <t>мясо</t>
  </si>
  <si>
    <t>https://media.spreadthesign.com/video/mp4/12/10060.mp4</t>
  </si>
  <si>
    <t>hunt</t>
  </si>
  <si>
    <t>jakt</t>
  </si>
  <si>
    <t>https://www.minetegn.no/Tegnordbok-HTML/videos/jakt.mp4</t>
  </si>
  <si>
    <t>охотиться</t>
  </si>
  <si>
    <t>https://media.spreadthesign.com/video/mp4/12/296544.mp4</t>
  </si>
  <si>
    <t>snow</t>
  </si>
  <si>
    <t>snø</t>
  </si>
  <si>
    <t>https://www.minetegn.no/Tegnordbok-HTML/videos/snoe.mp4</t>
  </si>
  <si>
    <t>снег</t>
  </si>
  <si>
    <t>https://media.spreadthesign.com/video/mp4/12/99932.mp4</t>
  </si>
  <si>
    <t>blood</t>
  </si>
  <si>
    <t>blod</t>
  </si>
  <si>
    <t>https://www.minetegn.no/Tegnordbok-HTML/videos/blod-3.mp4</t>
  </si>
  <si>
    <t>кровь</t>
  </si>
  <si>
    <t>https://media.spreadthesign.com/video/mp4/12/349177.mp4</t>
  </si>
  <si>
    <t>fight</t>
  </si>
  <si>
    <t>slåss</t>
  </si>
  <si>
    <t>https://www.minetegn.no/Tegnordbok-HTML/videos/slaass.mp4</t>
  </si>
  <si>
    <t>драться</t>
  </si>
  <si>
    <t>https://youtu.be/peOPB_hfXt8</t>
  </si>
  <si>
    <t>gloves</t>
  </si>
  <si>
    <t>hansker</t>
  </si>
  <si>
    <t>https://www.minetegn.no/Tegnordbok-HTML/videos/hansker.mp4</t>
  </si>
  <si>
    <t>перчатки</t>
  </si>
  <si>
    <t>https://media.spreadthesign.com/video/mp4/12/31724.mp4</t>
  </si>
  <si>
    <t>live</t>
  </si>
  <si>
    <t>bo</t>
  </si>
  <si>
    <t>https://www.minetegn.no/Tegnordbok-HTML/videos/bo.mp4</t>
  </si>
  <si>
    <t>жить</t>
  </si>
  <si>
    <t>https://media.spreadthesign.com/video/mp4/12/4462.mp4</t>
  </si>
  <si>
    <t>parade</t>
  </si>
  <si>
    <t>marsjering</t>
  </si>
  <si>
    <t>https://www.minetegn.no/Tegnordbok-HTML/videos/marsjere.mp4</t>
  </si>
  <si>
    <t>парад</t>
  </si>
  <si>
    <t>https://media.spreadthesign.com/video/mp4/12/107553.mp4</t>
  </si>
  <si>
    <t>worry</t>
  </si>
  <si>
    <t>bekymre</t>
  </si>
  <si>
    <t>https://www.minetegn.no/Tegnordbok-HTML/videos/bekymret.mp4</t>
  </si>
  <si>
    <t>беспокоиться</t>
  </si>
  <si>
    <t>https://media.spreadthesign.com/video/mp4/12/319269.mp4</t>
  </si>
  <si>
    <t>floor</t>
  </si>
  <si>
    <t>gulv</t>
  </si>
  <si>
    <t>https://www.minetegn.no/Tegnordbok-HTML/videos/gulv.mp4</t>
  </si>
  <si>
    <t>пол</t>
  </si>
  <si>
    <t>https://media.spreadthesign.com/video/mp4/12/889.mp4</t>
  </si>
  <si>
    <t>tie</t>
  </si>
  <si>
    <t>knyte</t>
  </si>
  <si>
    <t>https://www.minetegn.no/Tegnordbok-HTML/videos/knytte-1.mp4</t>
  </si>
  <si>
    <t>завязать</t>
  </si>
  <si>
    <t>https://youtu.be/LsfOs7gaY0Y</t>
  </si>
  <si>
    <t>president</t>
  </si>
  <si>
    <t>https://www.minetegn.no/Tegnordbok-HTML/videos/president.mp4</t>
  </si>
  <si>
    <t>президент</t>
  </si>
  <si>
    <t>https://media.spreadthesign.com/video/mp4/12/17956.mp4</t>
  </si>
  <si>
    <t>teach</t>
  </si>
  <si>
    <t>undervise</t>
  </si>
  <si>
    <t>https://www.minetegn.no/Tegnordbok-HTML/videos/maale-2.mp4</t>
  </si>
  <si>
    <t>учить</t>
  </si>
  <si>
    <t>https://media.spreadthesign.com/video/mp4/12/15803.mp4</t>
  </si>
  <si>
    <t>camping</t>
  </si>
  <si>
    <t>leir</t>
  </si>
  <si>
    <t>https://www.minetegn.no/Tegnordbok-HTML/videos/leir.mp4</t>
  </si>
  <si>
    <t>лагерь</t>
  </si>
  <si>
    <t>https://media.spreadthesign.com/video/mp4/12/18729.mp4</t>
  </si>
  <si>
    <t>tear</t>
  </si>
  <si>
    <t>rive</t>
  </si>
  <si>
    <t>https://www.minetegn.no/Tegnordbok-HTML/videos/rive-i-stykker.mp4</t>
  </si>
  <si>
    <t>рвать</t>
  </si>
  <si>
    <t>https://media.spreadthesign.com/video/mp4/12/319985.mp4</t>
  </si>
  <si>
    <t>machine</t>
  </si>
  <si>
    <t>maskin</t>
  </si>
  <si>
    <t>https://www.minetegn.no/Tegnordbok-HTML/videos/maskin.mp4</t>
  </si>
  <si>
    <t>механизм</t>
  </si>
  <si>
    <t>https://media.spreadthesign.com/video/mp4/12/208.mp4</t>
  </si>
  <si>
    <t>make</t>
  </si>
  <si>
    <t>lage</t>
  </si>
  <si>
    <t>https://www.minetegn.no/Tegnordbok-HTML/videos/lage.mp4</t>
  </si>
  <si>
    <t>делать</t>
  </si>
  <si>
    <t>https://media.spreadthesign.com/video/mp4/12/319119.mp4</t>
  </si>
  <si>
    <t>eat</t>
  </si>
  <si>
    <t>spise</t>
  </si>
  <si>
    <t>https://www.minetegn.no/Tegnordbok-HTML/videos/spise-1.mp4</t>
  </si>
  <si>
    <t>есть</t>
  </si>
  <si>
    <t>https://media.spreadthesign.com/video/mp4/12/8842.mp4</t>
  </si>
  <si>
    <t>lecture</t>
  </si>
  <si>
    <t>foredrag</t>
  </si>
  <si>
    <t>https://www.minetegn.no/Tegnordbok-HTML/videos/foredrag.mp4</t>
  </si>
  <si>
    <t>лекция</t>
  </si>
  <si>
    <t>https://media.spreadthesign.com/video/mp4/12/100235.mp4</t>
  </si>
  <si>
    <t>friend</t>
  </si>
  <si>
    <t>venn</t>
  </si>
  <si>
    <t>https://www.minetegn.no/Tegnordbok-HTML/videos/venn.mp4</t>
  </si>
  <si>
    <t>друг</t>
  </si>
  <si>
    <t>https://media.spreadthesign.com/video/mp4/12/351476.mp4</t>
  </si>
  <si>
    <t>walk</t>
  </si>
  <si>
    <t>gå</t>
  </si>
  <si>
    <t>https://www.minetegn.no/Tegnordbok-HTML/videos/gaa-2.mp4</t>
  </si>
  <si>
    <t>ходить</t>
  </si>
  <si>
    <t>https://media.spreadthesign.com/video/mp4/12/16689.mp4</t>
  </si>
  <si>
    <t>health</t>
  </si>
  <si>
    <t>helse</t>
  </si>
  <si>
    <t>https://www.minetegn.no/Tegnordbok-HTML/videos/helse-1.mp4</t>
  </si>
  <si>
    <t>здоровье</t>
  </si>
  <si>
    <t>https://media.spreadthesign.com/video/mp4/12/27606.mp4</t>
  </si>
  <si>
    <t>laugh</t>
  </si>
  <si>
    <t>le</t>
  </si>
  <si>
    <t>https://www.minetegn.no/Tegnordbok-HTML/videos/le.mp4</t>
  </si>
  <si>
    <t>смеяться</t>
  </si>
  <si>
    <t>https://media.spreadthesign.com/video/mp4/12/17579.mp4</t>
  </si>
  <si>
    <t>meeting</t>
  </si>
  <si>
    <t>møte</t>
  </si>
  <si>
    <t>https://www.minetegn.no/Tegnordbok-HTML/videos/moete-holde-moete.mp4</t>
  </si>
  <si>
    <t>собрание</t>
  </si>
  <si>
    <t>https://media.spreadthesign.com/video/mp4/12/5419.mp4</t>
  </si>
  <si>
    <t>sleep</t>
  </si>
  <si>
    <t>sove</t>
  </si>
  <si>
    <t>https://www.minetegn.no/Tegnordbok-HTML/videos/sove.mp4</t>
  </si>
  <si>
    <t>спать</t>
  </si>
  <si>
    <t>https://youtu.be/_FFFjn5pzJE</t>
  </si>
  <si>
    <t>medicine</t>
  </si>
  <si>
    <t>medisin</t>
  </si>
  <si>
    <t>https://www.minetegn.no/Tegnordbok-HTML/videos/medisin.mp4</t>
  </si>
  <si>
    <t>медицина</t>
  </si>
  <si>
    <t>https://media.spreadthesign.com/video/mp4/12/294937.mp4</t>
  </si>
  <si>
    <t>throw</t>
  </si>
  <si>
    <t>kaste</t>
  </si>
  <si>
    <t>https://www.minetegn.no/Tegnordbok-HTML/videos/kaste.mp4</t>
  </si>
  <si>
    <t>бросать</t>
  </si>
  <si>
    <t>https://youtu.be/CZqv1w42cTg</t>
  </si>
  <si>
    <t>fire</t>
  </si>
  <si>
    <t>brann</t>
  </si>
  <si>
    <t>https://www.minetegn.no/Tegnordbok-HTML/videos/brann.mp4</t>
  </si>
  <si>
    <t>огонь</t>
  </si>
  <si>
    <t>https://media.spreadthesign.com/video/mp4/12/9030.mp4</t>
  </si>
  <si>
    <t>insult</t>
  </si>
  <si>
    <t>fornærme</t>
  </si>
  <si>
    <t>https://www.minetegn.no/Tegnordbok-HTML/videos/fornaermet-fornaermelse.mp4</t>
  </si>
  <si>
    <t>оскорблять</t>
  </si>
  <si>
    <t>https://media.spreadthesign.com/video/mp4/12/43678.mp4</t>
  </si>
  <si>
    <t>diploma</t>
  </si>
  <si>
    <t>diplom</t>
  </si>
  <si>
    <t>https://www.minetegn.no/Tegnordbok-HTML/videos/diplom.mp4</t>
  </si>
  <si>
    <t>диплом</t>
  </si>
  <si>
    <t>https://media.spreadthesign.com/video/mp4/12/43570.mp4</t>
  </si>
  <si>
    <t>sit</t>
  </si>
  <si>
    <t>sitte</t>
  </si>
  <si>
    <t>https://www.minetegn.no/Tegnordbok-HTML/videos/sitte-1.mp4</t>
  </si>
  <si>
    <t>сидеть</t>
  </si>
  <si>
    <t>https://media.spreadthesign.com/video/mp4/12/17011.mp4</t>
  </si>
  <si>
    <t>cook</t>
  </si>
  <si>
    <t>koke</t>
  </si>
  <si>
    <t>https://www.minetegn.no/Tegnordbok-HTML/videos/koke.mp4</t>
  </si>
  <si>
    <t xml:space="preserve">готовить </t>
  </si>
  <si>
    <t>https://media.spreadthesign.com/video/mp4/12/8241.mp4</t>
  </si>
  <si>
    <t>microwave</t>
  </si>
  <si>
    <t>mikrobølgeovn</t>
  </si>
  <si>
    <t>https://www.minetegn.no/Tegnordbok-HTML/videos/mikroboelgeovn.mp4</t>
  </si>
  <si>
    <t>микроволновка</t>
  </si>
  <si>
    <t>https://media.spreadthesign.com/video/mp4/12/106510.mp4</t>
  </si>
  <si>
    <t>use</t>
  </si>
  <si>
    <t>bruke</t>
  </si>
  <si>
    <t>https://www.minetegn.no/Tegnordbok-HTML/videos/bruke.mp4</t>
  </si>
  <si>
    <t>использовать</t>
  </si>
  <si>
    <t>https://media.spreadthesign.com/video/mp4/12/319013.mp4</t>
  </si>
  <si>
    <t>woman</t>
  </si>
  <si>
    <t>kvinne</t>
  </si>
  <si>
    <t>https://www.minetegn.no/Tegnordbok-HTML/videos/kvinne.mp4</t>
  </si>
  <si>
    <t>женщина</t>
  </si>
  <si>
    <t>https://media.spreadthesign.com/video/mp4/12/295464.mp4</t>
  </si>
  <si>
    <t>canoe</t>
  </si>
  <si>
    <t>kano</t>
  </si>
  <si>
    <t>https://www.minetegn.no/Tegnordbok-HTML/videos/kano.mp4</t>
  </si>
  <si>
    <t>каноэ</t>
  </si>
  <si>
    <t>https://media.spreadthesign.com/video/mp4/12/31914.mp4</t>
  </si>
  <si>
    <t>kiss</t>
  </si>
  <si>
    <t>kysse</t>
  </si>
  <si>
    <t>https://www.minetegn.no/Tegnordbok-HTML/videos/kysse.mp4</t>
  </si>
  <si>
    <t>целовать</t>
  </si>
  <si>
    <t>https://media.spreadthesign.com/video/mp4/12/17549.mp4</t>
  </si>
  <si>
    <t>animal</t>
  </si>
  <si>
    <t>dyr</t>
  </si>
  <si>
    <t>https://www.minetegn.no/Tegnordbok-HTML/videos/dyr.mp4</t>
  </si>
  <si>
    <t>животное</t>
  </si>
  <si>
    <t>https://media.spreadthesign.com/video/mp4/12/15154.mp4</t>
  </si>
  <si>
    <t>hope</t>
  </si>
  <si>
    <t>håpe</t>
  </si>
  <si>
    <t>https://www.minetegn.no/Tegnordbok-HTML/videos/haape.mp4</t>
  </si>
  <si>
    <t>надеяться</t>
  </si>
  <si>
    <t>https://media.spreadthesign.com/video/mp4/12/100397.mp4</t>
  </si>
  <si>
    <t>picture</t>
  </si>
  <si>
    <t>video</t>
  </si>
  <si>
    <t>condition</t>
  </si>
  <si>
    <t>correct</t>
  </si>
  <si>
    <t>index</t>
  </si>
  <si>
    <t>instructions</t>
  </si>
  <si>
    <t>same</t>
  </si>
  <si>
    <t>target</t>
  </si>
  <si>
    <t>noncognate</t>
  </si>
  <si>
    <t>cognate</t>
  </si>
  <si>
    <t>foil</t>
  </si>
  <si>
    <t>end</t>
  </si>
  <si>
    <t>Gråte.mp4</t>
  </si>
  <si>
    <t>Male.mp4</t>
  </si>
  <si>
    <t>Synge.mp4</t>
  </si>
  <si>
    <t>Tror.mp4</t>
  </si>
  <si>
    <t>Skrive.mp4</t>
  </si>
  <si>
    <t>Tegne.mp4</t>
  </si>
  <si>
    <t>Fotball.mp4</t>
  </si>
  <si>
    <t>Gate.mp4</t>
  </si>
  <si>
    <t>Snakke.mp4</t>
  </si>
  <si>
    <t>Kirke.mp4</t>
  </si>
  <si>
    <t>Invitere.mp4</t>
  </si>
  <si>
    <t>Jord.mp4</t>
  </si>
  <si>
    <t>Flytte.mp4</t>
  </si>
  <si>
    <t>Dø.mp4</t>
  </si>
  <si>
    <t>Kjøtt.mp4</t>
  </si>
  <si>
    <t>Jakt.mp4</t>
  </si>
  <si>
    <t>Snø.mp4</t>
  </si>
  <si>
    <t>Blod.mp4</t>
  </si>
  <si>
    <t>Slåss.mp4</t>
  </si>
  <si>
    <t>Hansker.mp4</t>
  </si>
  <si>
    <t>Bo.mp4</t>
  </si>
  <si>
    <t>Marsjering.mp4</t>
  </si>
  <si>
    <t>Bekymre.mp4</t>
  </si>
  <si>
    <t>Gulv.mp4</t>
  </si>
  <si>
    <t>Knyte.mp4</t>
  </si>
  <si>
    <t>President.mp4</t>
  </si>
  <si>
    <t>Undervise.mp4</t>
  </si>
  <si>
    <t>Leir.mp4</t>
  </si>
  <si>
    <t>Rive.mp4</t>
  </si>
  <si>
    <t>Maskin.mp4</t>
  </si>
  <si>
    <t>Lage.mp4</t>
  </si>
  <si>
    <t>Spise.mp4</t>
  </si>
  <si>
    <t>Foredrag.mp4</t>
  </si>
  <si>
    <t>Venn.mp4</t>
  </si>
  <si>
    <t>Gå.mp4</t>
  </si>
  <si>
    <t>Helse.mp4</t>
  </si>
  <si>
    <t>Le.mp4</t>
  </si>
  <si>
    <t>Møte.mp4</t>
  </si>
  <si>
    <t>Sove.mp4</t>
  </si>
  <si>
    <t>Medisin.mp4</t>
  </si>
  <si>
    <t>Kaste.mp4</t>
  </si>
  <si>
    <t>Brann.mp4</t>
  </si>
  <si>
    <t>Fornærme.mp4</t>
  </si>
  <si>
    <t>Diplom.mp4</t>
  </si>
  <si>
    <t>Sitte.mp4</t>
  </si>
  <si>
    <t>Koke.mp4</t>
  </si>
  <si>
    <t>Mikrobølgeovn.mp4</t>
  </si>
  <si>
    <t>Bruke.mp4</t>
  </si>
  <si>
    <t>Kvinne.mp4</t>
  </si>
  <si>
    <t>Kano.mp4</t>
  </si>
  <si>
    <t>Kysse.mp4</t>
  </si>
  <si>
    <t>Dyr.mp4</t>
  </si>
  <si>
    <t>Håpe.mp4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</si>
</sst>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rgb="FF000000"/>
      <name val="Inconsolata"/>
    </font>
    <font>
      <sz val="11"/>
      <color theme="1"/>
      <name val="Inconsolata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9" fillId="0" borderId="0" xfId="0" applyFont="1"/>
    <xf numFmtId="0" fontId="7" fillId="2" borderId="0" xfId="0" applyFont="1" applyFill="1" applyAlignment="1">
      <alignment horizontal="right"/>
    </xf>
    <xf numFmtId="0" fontId="10" fillId="0" borderId="0" xfId="0" applyFont="1"/>
    <xf numFmtId="0" fontId="4" fillId="2" borderId="0" xfId="0" applyFont="1" applyFill="1"/>
    <xf numFmtId="0" fontId="11" fillId="2" borderId="0" xfId="0" applyFont="1" applyFill="1"/>
    <xf numFmtId="0" fontId="6" fillId="2" borderId="0" xfId="0" applyFont="1" applyFill="1"/>
    <xf numFmtId="0" fontId="12" fillId="2" borderId="0" xfId="0" applyFont="1" applyFill="1"/>
    <xf numFmtId="0" fontId="4" fillId="2" borderId="1" xfId="0" applyFont="1" applyFill="1" applyBorder="1"/>
    <xf numFmtId="0" fontId="13" fillId="0" borderId="0" xfId="0" applyFont="1"/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7" fillId="0" borderId="0" xfId="0" applyFont="1" applyFill="1" applyAlignment="1">
      <alignment horizontal="right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edia.spreadthesign.com/video/mp4/12/181826.mp4" TargetMode="External"/><Relationship Id="rId21" Type="http://schemas.openxmlformats.org/officeDocument/2006/relationships/hyperlink" Target="https://www.minetegn.no/Tegnordbok-HTML/videos/se.mp4" TargetMode="External"/><Relationship Id="rId42" Type="http://schemas.openxmlformats.org/officeDocument/2006/relationships/hyperlink" Target="https://media.spreadthesign.com/video/mp4/12/19434.mp4" TargetMode="External"/><Relationship Id="rId47" Type="http://schemas.openxmlformats.org/officeDocument/2006/relationships/hyperlink" Target="https://www.minetegn.no/Tegnordbok-HTML/videos/ta.mp4" TargetMode="External"/><Relationship Id="rId63" Type="http://schemas.openxmlformats.org/officeDocument/2006/relationships/hyperlink" Target="https://www.minetegn.no/Tegnordbok-HTML/videos/forlovet.mp4" TargetMode="External"/><Relationship Id="rId68" Type="http://schemas.openxmlformats.org/officeDocument/2006/relationships/hyperlink" Target="https://media.spreadthesign.com/video/mp4/12/17900.mp4" TargetMode="External"/><Relationship Id="rId84" Type="http://schemas.openxmlformats.org/officeDocument/2006/relationships/hyperlink" Target="https://media.spreadthesign.com/video/mp4/12/320886.mp4" TargetMode="External"/><Relationship Id="rId89" Type="http://schemas.openxmlformats.org/officeDocument/2006/relationships/hyperlink" Target="https://www.minetegn.no/Tegnordbok-HTML/videos/rope.mp4" TargetMode="External"/><Relationship Id="rId16" Type="http://schemas.openxmlformats.org/officeDocument/2006/relationships/hyperlink" Target="https://media.spreadthesign.com/video/mp4/12/24057.mp4" TargetMode="External"/><Relationship Id="rId11" Type="http://schemas.openxmlformats.org/officeDocument/2006/relationships/hyperlink" Target="https://www.minetegn.no/Tegnordbok-HTML/videos/graate-1.mp4" TargetMode="External"/><Relationship Id="rId32" Type="http://schemas.openxmlformats.org/officeDocument/2006/relationships/hyperlink" Target="https://media.spreadthesign.com/video/mp4/12/8207.mp4" TargetMode="External"/><Relationship Id="rId37" Type="http://schemas.openxmlformats.org/officeDocument/2006/relationships/hyperlink" Target="https://www.minetegn.no/Tegnordbok-HTML/videos/metall.mp4" TargetMode="External"/><Relationship Id="rId53" Type="http://schemas.openxmlformats.org/officeDocument/2006/relationships/hyperlink" Target="https://www.minetegn.no/Tegnbanken-2016/data/hendene/komme-a.jpg" TargetMode="External"/><Relationship Id="rId58" Type="http://schemas.openxmlformats.org/officeDocument/2006/relationships/hyperlink" Target="https://media.spreadthesign.com/video/mp4/12/17689.mp4" TargetMode="External"/><Relationship Id="rId74" Type="http://schemas.openxmlformats.org/officeDocument/2006/relationships/hyperlink" Target="https://media.spreadthesign.com/video/mp4/12/7724.mp4" TargetMode="External"/><Relationship Id="rId79" Type="http://schemas.openxmlformats.org/officeDocument/2006/relationships/hyperlink" Target="https://www.minetegn.no/Tegnordbok-HTML/videos/sirkel.mp4" TargetMode="External"/><Relationship Id="rId5" Type="http://schemas.openxmlformats.org/officeDocument/2006/relationships/hyperlink" Target="https://www.minetegn.no/Tegnordbok-HTML/videos/oern.mp4" TargetMode="External"/><Relationship Id="rId90" Type="http://schemas.openxmlformats.org/officeDocument/2006/relationships/hyperlink" Target="https://media.spreadthesign.com/video/mp4/12/225123.mp4" TargetMode="External"/><Relationship Id="rId95" Type="http://schemas.openxmlformats.org/officeDocument/2006/relationships/hyperlink" Target="https://www.minetegn.no/Tegnordbok-HTML/videos/vinne.mp4" TargetMode="External"/><Relationship Id="rId22" Type="http://schemas.openxmlformats.org/officeDocument/2006/relationships/hyperlink" Target="https://media.spreadthesign.com/video/mp4/12/16969.mp4" TargetMode="External"/><Relationship Id="rId27" Type="http://schemas.openxmlformats.org/officeDocument/2006/relationships/hyperlink" Target="https://www.minetegn.no/Tegnordbok-HTML/videos/endre-ing.mp4" TargetMode="External"/><Relationship Id="rId43" Type="http://schemas.openxmlformats.org/officeDocument/2006/relationships/hyperlink" Target="https://www.minetegn.no/Tegnordbok-HTML/videos/dra.mp4" TargetMode="External"/><Relationship Id="rId48" Type="http://schemas.openxmlformats.org/officeDocument/2006/relationships/hyperlink" Target="https://media.spreadthesign.com/video/mp4/12/5685.mp4" TargetMode="External"/><Relationship Id="rId64" Type="http://schemas.openxmlformats.org/officeDocument/2006/relationships/hyperlink" Target="https://media.spreadthesign.com/video/mp4/12/319872.mp4" TargetMode="External"/><Relationship Id="rId69" Type="http://schemas.openxmlformats.org/officeDocument/2006/relationships/hyperlink" Target="https://www.minetegn.no/Tegnordbok-HTML/videos/skole.mp4" TargetMode="External"/><Relationship Id="rId80" Type="http://schemas.openxmlformats.org/officeDocument/2006/relationships/hyperlink" Target="https://media.spreadthesign.com/video/mp4/12/351415.mp4" TargetMode="External"/><Relationship Id="rId85" Type="http://schemas.openxmlformats.org/officeDocument/2006/relationships/hyperlink" Target="https://www.minetegn.no/Tegnordbok-HTML/videos/proeve-1.mp4" TargetMode="External"/><Relationship Id="rId3" Type="http://schemas.openxmlformats.org/officeDocument/2006/relationships/hyperlink" Target="https://www.minetegn.no/Tegnordbok-HTML/videos/barn.mp4" TargetMode="External"/><Relationship Id="rId12" Type="http://schemas.openxmlformats.org/officeDocument/2006/relationships/hyperlink" Target="https://media.spreadthesign.com/video/mp4/12/18934.mp4" TargetMode="External"/><Relationship Id="rId17" Type="http://schemas.openxmlformats.org/officeDocument/2006/relationships/hyperlink" Target="https://www.minetegn.no/Tegnordbok-HTML/videos/tror.mp4" TargetMode="External"/><Relationship Id="rId25" Type="http://schemas.openxmlformats.org/officeDocument/2006/relationships/hyperlink" Target="https://www.minetegn.no/Tegnordbok-HTML/videos/pen.mp4" TargetMode="External"/><Relationship Id="rId33" Type="http://schemas.openxmlformats.org/officeDocument/2006/relationships/hyperlink" Target="https://www.minetegn.no/Tegnordbok-HTML/videos/sigar.mp4" TargetMode="External"/><Relationship Id="rId38" Type="http://schemas.openxmlformats.org/officeDocument/2006/relationships/hyperlink" Target="https://media.spreadthesign.com/video/mp4/12/176203.mp4" TargetMode="External"/><Relationship Id="rId46" Type="http://schemas.openxmlformats.org/officeDocument/2006/relationships/hyperlink" Target="https://youtu.be/OWNW0gJdFf8" TargetMode="External"/><Relationship Id="rId59" Type="http://schemas.openxmlformats.org/officeDocument/2006/relationships/hyperlink" Target="https://www.minetegn.no/Tegnordbok-HTML/videos/skeptisk.mp4" TargetMode="External"/><Relationship Id="rId67" Type="http://schemas.openxmlformats.org/officeDocument/2006/relationships/hyperlink" Target="https://www.minetegn.no/Tegnordbok-HTML/videos/oest-retning-2.mp4" TargetMode="External"/><Relationship Id="rId20" Type="http://schemas.openxmlformats.org/officeDocument/2006/relationships/hyperlink" Target="https://media.spreadthesign.com/video/mp4/12/16802.mp4" TargetMode="External"/><Relationship Id="rId41" Type="http://schemas.openxmlformats.org/officeDocument/2006/relationships/hyperlink" Target="https://www.minetegn.no/Tegnordbok-HTML/videos/hoppe-opp-og-ned.mp4" TargetMode="External"/><Relationship Id="rId54" Type="http://schemas.openxmlformats.org/officeDocument/2006/relationships/hyperlink" Target="https://media.spreadthesign.com/video/mp4/12/5177.mp4" TargetMode="External"/><Relationship Id="rId62" Type="http://schemas.openxmlformats.org/officeDocument/2006/relationships/hyperlink" Target="https://media.spreadthesign.com/video/mp4/12/4676.mp4" TargetMode="External"/><Relationship Id="rId70" Type="http://schemas.openxmlformats.org/officeDocument/2006/relationships/hyperlink" Target="https://media.spreadthesign.com/video/mp4/12/12914.mp4" TargetMode="External"/><Relationship Id="rId75" Type="http://schemas.openxmlformats.org/officeDocument/2006/relationships/hyperlink" Target="https://www.minetegn.no/Tegnordbok-HTML/videos/dukke-2.mp4" TargetMode="External"/><Relationship Id="rId83" Type="http://schemas.openxmlformats.org/officeDocument/2006/relationships/hyperlink" Target="https://www.minetegn.no/Tegnordbok-HTML/videos/nyse.mp4" TargetMode="External"/><Relationship Id="rId88" Type="http://schemas.openxmlformats.org/officeDocument/2006/relationships/hyperlink" Target="https://media.spreadthesign.com/video/mp4/43/390093.mp4" TargetMode="External"/><Relationship Id="rId91" Type="http://schemas.openxmlformats.org/officeDocument/2006/relationships/hyperlink" Target="https://www.minetegn.no/Tegnordbok-HTML/videos/velge.mp4" TargetMode="External"/><Relationship Id="rId96" Type="http://schemas.openxmlformats.org/officeDocument/2006/relationships/hyperlink" Target="https://media.spreadthesign.com/video/mp4/12/16003.mp4" TargetMode="External"/><Relationship Id="rId1" Type="http://schemas.openxmlformats.org/officeDocument/2006/relationships/hyperlink" Target="https://www.minetegn.no/Tegnordbok-HTML/videos/gutt.mp4" TargetMode="External"/><Relationship Id="rId6" Type="http://schemas.openxmlformats.org/officeDocument/2006/relationships/hyperlink" Target="https://media.spreadthesign.com/video/mp4/12/13640.mp4" TargetMode="External"/><Relationship Id="rId15" Type="http://schemas.openxmlformats.org/officeDocument/2006/relationships/hyperlink" Target="https://www.minetegn.no/Tegnordbok-HTML/videos/synge.mp4" TargetMode="External"/><Relationship Id="rId23" Type="http://schemas.openxmlformats.org/officeDocument/2006/relationships/hyperlink" Target="https://www.minetegn.no/Tegnordbok-HTML/videos/skrive.mp4" TargetMode="External"/><Relationship Id="rId28" Type="http://schemas.openxmlformats.org/officeDocument/2006/relationships/hyperlink" Target="https://media.spreadthesign.com/video/mp4/12/5786.mp4" TargetMode="External"/><Relationship Id="rId36" Type="http://schemas.openxmlformats.org/officeDocument/2006/relationships/hyperlink" Target="https://media.spreadthesign.com/video/mp4/12/13929.mp4" TargetMode="External"/><Relationship Id="rId49" Type="http://schemas.openxmlformats.org/officeDocument/2006/relationships/hyperlink" Target="https://www.minetegn.no/Tegnordbok-HTML/videos/frosk.mp4" TargetMode="External"/><Relationship Id="rId57" Type="http://schemas.openxmlformats.org/officeDocument/2006/relationships/hyperlink" Target="https://www.minetegn.no/Tegnordbok-HTML/videos/reise-2.mp4" TargetMode="External"/><Relationship Id="rId10" Type="http://schemas.openxmlformats.org/officeDocument/2006/relationships/hyperlink" Target="https://media.spreadthesign.com/video/mp4/12/180136.mp4" TargetMode="External"/><Relationship Id="rId31" Type="http://schemas.openxmlformats.org/officeDocument/2006/relationships/hyperlink" Target="https://www.minetegn.no/Tegnordbok-HTML/videos/kaffe.mp4" TargetMode="External"/><Relationship Id="rId44" Type="http://schemas.openxmlformats.org/officeDocument/2006/relationships/hyperlink" Target="https://media.spreadthesign.com/video/mp4/12/4996.mp4" TargetMode="External"/><Relationship Id="rId52" Type="http://schemas.openxmlformats.org/officeDocument/2006/relationships/hyperlink" Target="https://media.spreadthesign.com/video/mp4/12/295313.mp4" TargetMode="External"/><Relationship Id="rId60" Type="http://schemas.openxmlformats.org/officeDocument/2006/relationships/hyperlink" Target="https://media.spreadthesign.com/video/mp4/12/15759.mp4" TargetMode="External"/><Relationship Id="rId65" Type="http://schemas.openxmlformats.org/officeDocument/2006/relationships/hyperlink" Target="https://www.minetegn.no/Tegnordbok-HTML/videos/farge-1.mp4" TargetMode="External"/><Relationship Id="rId73" Type="http://schemas.openxmlformats.org/officeDocument/2006/relationships/hyperlink" Target="https://www.minetegn.no/Tegnordbok-HTML/videos/kael.mp4" TargetMode="External"/><Relationship Id="rId78" Type="http://schemas.openxmlformats.org/officeDocument/2006/relationships/hyperlink" Target="https://media.spreadthesign.com/video/mp4/12/13863.mp4" TargetMode="External"/><Relationship Id="rId81" Type="http://schemas.openxmlformats.org/officeDocument/2006/relationships/hyperlink" Target="https://www.minetegn.no/Tegnordbok-HTML/videos/salt.mp4" TargetMode="External"/><Relationship Id="rId86" Type="http://schemas.openxmlformats.org/officeDocument/2006/relationships/hyperlink" Target="https://media.spreadthesign.com/video/mp4/12/5342.mp4" TargetMode="External"/><Relationship Id="rId94" Type="http://schemas.openxmlformats.org/officeDocument/2006/relationships/hyperlink" Target="https://media.spreadthesign.com/video/mp4/12/20073.mp4" TargetMode="External"/><Relationship Id="rId4" Type="http://schemas.openxmlformats.org/officeDocument/2006/relationships/hyperlink" Target="https://media.spreadthesign.com/video/mp4/12/16508.mp4" TargetMode="External"/><Relationship Id="rId9" Type="http://schemas.openxmlformats.org/officeDocument/2006/relationships/hyperlink" Target="https://www.minetegn.no/Tegnordbok-HTML/videos/puste.mp4" TargetMode="External"/><Relationship Id="rId13" Type="http://schemas.openxmlformats.org/officeDocument/2006/relationships/hyperlink" Target="https://www.minetegn.no/Tegnordbok-HTML/videos/loepe-2.mp4" TargetMode="External"/><Relationship Id="rId18" Type="http://schemas.openxmlformats.org/officeDocument/2006/relationships/hyperlink" Target="https://media.spreadthesign.com/video/mp4/12/4904.mp4" TargetMode="External"/><Relationship Id="rId39" Type="http://schemas.openxmlformats.org/officeDocument/2006/relationships/hyperlink" Target="https://www.minetegn.no/Tegnordbok-HTML/videos/telefon.mp4" TargetMode="External"/><Relationship Id="rId34" Type="http://schemas.openxmlformats.org/officeDocument/2006/relationships/hyperlink" Target="https://media.spreadthesign.com/video/mp4/12/99766.mp4" TargetMode="External"/><Relationship Id="rId50" Type="http://schemas.openxmlformats.org/officeDocument/2006/relationships/hyperlink" Target="https://media.spreadthesign.com/video/mp4/12/13598.mp4" TargetMode="External"/><Relationship Id="rId55" Type="http://schemas.openxmlformats.org/officeDocument/2006/relationships/hyperlink" Target="https://www.minetegn.no/Tegnordbok-HTML/videos/seil.mp4" TargetMode="External"/><Relationship Id="rId76" Type="http://schemas.openxmlformats.org/officeDocument/2006/relationships/hyperlink" Target="https://media.spreadthesign.com/video/mp4/12/19015.mp4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www.minetegn.no/Tegnordbok-HTML/videos/familie.mp4" TargetMode="External"/><Relationship Id="rId71" Type="http://schemas.openxmlformats.org/officeDocument/2006/relationships/hyperlink" Target="https://www.minetegn.no/Tegnordbok-HTML/videos/vondt-2.mp4" TargetMode="External"/><Relationship Id="rId92" Type="http://schemas.openxmlformats.org/officeDocument/2006/relationships/hyperlink" Target="https://media.spreadthesign.com/video/mp4/12/43563.mp4" TargetMode="External"/><Relationship Id="rId2" Type="http://schemas.openxmlformats.org/officeDocument/2006/relationships/hyperlink" Target="https://media.spreadthesign.com/video/mp4/12/4095.mp4" TargetMode="External"/><Relationship Id="rId29" Type="http://schemas.openxmlformats.org/officeDocument/2006/relationships/hyperlink" Target="https://www.minetegn.no/Tegnordbok-HTML/videos/bok.mp4" TargetMode="External"/><Relationship Id="rId24" Type="http://schemas.openxmlformats.org/officeDocument/2006/relationships/hyperlink" Target="https://media.spreadthesign.com/video/mp4/12/5223.mp4" TargetMode="External"/><Relationship Id="rId40" Type="http://schemas.openxmlformats.org/officeDocument/2006/relationships/hyperlink" Target="https://media.spreadthesign.com/video/mp4/12/13844.mp4" TargetMode="External"/><Relationship Id="rId45" Type="http://schemas.openxmlformats.org/officeDocument/2006/relationships/hyperlink" Target="https://www.minetegn.no/Tegnordbok-HTML/videos/miste.mp4" TargetMode="External"/><Relationship Id="rId66" Type="http://schemas.openxmlformats.org/officeDocument/2006/relationships/hyperlink" Target="https://media.spreadthesign.com/video/mp4/12/351382.mp4" TargetMode="External"/><Relationship Id="rId87" Type="http://schemas.openxmlformats.org/officeDocument/2006/relationships/hyperlink" Target="https://www.minetegn.no/Tegnordbok-HTML/videos/vente.mp4" TargetMode="External"/><Relationship Id="rId61" Type="http://schemas.openxmlformats.org/officeDocument/2006/relationships/hyperlink" Target="https://www.minetegn.no/Tegnordbok-HTML/videos/spille-brettspill-2.mp4" TargetMode="External"/><Relationship Id="rId82" Type="http://schemas.openxmlformats.org/officeDocument/2006/relationships/hyperlink" Target="https://media.spreadthesign.com/video/mp4/12/11335.mp4" TargetMode="External"/><Relationship Id="rId19" Type="http://schemas.openxmlformats.org/officeDocument/2006/relationships/hyperlink" Target="https://www.minetegn.no/Tegnordbok-HTML/videos/male-2.mp4" TargetMode="External"/><Relationship Id="rId14" Type="http://schemas.openxmlformats.org/officeDocument/2006/relationships/hyperlink" Target="https://media.spreadthesign.com/video/mp4/12/15558.mp4" TargetMode="External"/><Relationship Id="rId30" Type="http://schemas.openxmlformats.org/officeDocument/2006/relationships/hyperlink" Target="https://media.spreadthesign.com/video/mp4/12/18692.mp4" TargetMode="External"/><Relationship Id="rId35" Type="http://schemas.openxmlformats.org/officeDocument/2006/relationships/hyperlink" Target="https://www.minetegn.no/Tegnordbok-HTML/videos/blomst-1.mp4" TargetMode="External"/><Relationship Id="rId56" Type="http://schemas.openxmlformats.org/officeDocument/2006/relationships/hyperlink" Target="https://media.spreadthesign.com/video/mp4/12/319932.mp4" TargetMode="External"/><Relationship Id="rId77" Type="http://schemas.openxmlformats.org/officeDocument/2006/relationships/hyperlink" Target="https://www.minetegn.no/Tegnordbok-HTML/videos/dagbladet.mp4" TargetMode="External"/><Relationship Id="rId8" Type="http://schemas.openxmlformats.org/officeDocument/2006/relationships/hyperlink" Target="https://media.spreadthesign.com/video/mp4/12/43684.mp4" TargetMode="External"/><Relationship Id="rId51" Type="http://schemas.openxmlformats.org/officeDocument/2006/relationships/hyperlink" Target="https://www.minetegn.no/Tegnordbok-HTML/videos/gorilla.mp4" TargetMode="External"/><Relationship Id="rId72" Type="http://schemas.openxmlformats.org/officeDocument/2006/relationships/hyperlink" Target="https://media.spreadthesign.com/video/mp4/12/4439.mp4" TargetMode="External"/><Relationship Id="rId93" Type="http://schemas.openxmlformats.org/officeDocument/2006/relationships/hyperlink" Target="https://www.minetegn.no/Tegnordbok-HTML/videos/vise.mp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edia.spreadthesign.com/video/mp4/12/349177.mp4" TargetMode="External"/><Relationship Id="rId21" Type="http://schemas.openxmlformats.org/officeDocument/2006/relationships/hyperlink" Target="https://www.minetegn.no/Tegnordbok-HTML/videos/jakt.mp4" TargetMode="External"/><Relationship Id="rId42" Type="http://schemas.openxmlformats.org/officeDocument/2006/relationships/hyperlink" Target="https://media.spreadthesign.com/video/mp4/12/17956.mp4" TargetMode="External"/><Relationship Id="rId47" Type="http://schemas.openxmlformats.org/officeDocument/2006/relationships/hyperlink" Target="https://www.minetegn.no/Tegnordbok-HTML/videos/rive-i-stykker.mp4" TargetMode="External"/><Relationship Id="rId63" Type="http://schemas.openxmlformats.org/officeDocument/2006/relationships/hyperlink" Target="https://www.minetegn.no/Tegnordbok-HTML/videos/le.mp4" TargetMode="External"/><Relationship Id="rId68" Type="http://schemas.openxmlformats.org/officeDocument/2006/relationships/hyperlink" Target="https://youtu.be/_FFFjn5pzJE" TargetMode="External"/><Relationship Id="rId84" Type="http://schemas.openxmlformats.org/officeDocument/2006/relationships/hyperlink" Target="https://media.spreadthesign.com/video/mp4/12/106510.mp4" TargetMode="External"/><Relationship Id="rId89" Type="http://schemas.openxmlformats.org/officeDocument/2006/relationships/hyperlink" Target="https://www.minetegn.no/Tegnordbok-HTML/videos/kano.mp4" TargetMode="External"/><Relationship Id="rId16" Type="http://schemas.openxmlformats.org/officeDocument/2006/relationships/hyperlink" Target="https://media.spreadthesign.com/video/mp4/12/43293.mp4" TargetMode="External"/><Relationship Id="rId11" Type="http://schemas.openxmlformats.org/officeDocument/2006/relationships/hyperlink" Target="https://www.minetegn.no/Tegnordbok-HTML/videos/invitere.mp4" TargetMode="External"/><Relationship Id="rId32" Type="http://schemas.openxmlformats.org/officeDocument/2006/relationships/hyperlink" Target="https://media.spreadthesign.com/video/mp4/12/4462.mp4" TargetMode="External"/><Relationship Id="rId37" Type="http://schemas.openxmlformats.org/officeDocument/2006/relationships/hyperlink" Target="https://www.minetegn.no/Tegnordbok-HTML/videos/gulv.mp4" TargetMode="External"/><Relationship Id="rId53" Type="http://schemas.openxmlformats.org/officeDocument/2006/relationships/hyperlink" Target="https://www.minetegn.no/Tegnordbok-HTML/videos/spise-1.mp4" TargetMode="External"/><Relationship Id="rId58" Type="http://schemas.openxmlformats.org/officeDocument/2006/relationships/hyperlink" Target="https://media.spreadthesign.com/video/mp4/12/351476.mp4" TargetMode="External"/><Relationship Id="rId74" Type="http://schemas.openxmlformats.org/officeDocument/2006/relationships/hyperlink" Target="https://media.spreadthesign.com/video/mp4/12/9030.mp4" TargetMode="External"/><Relationship Id="rId79" Type="http://schemas.openxmlformats.org/officeDocument/2006/relationships/hyperlink" Target="https://www.minetegn.no/Tegnordbok-HTML/videos/sitte-1.mp4" TargetMode="External"/><Relationship Id="rId5" Type="http://schemas.openxmlformats.org/officeDocument/2006/relationships/hyperlink" Target="https://www.minetegn.no/Tegnordbok-HTML/videos/gate.mp4" TargetMode="External"/><Relationship Id="rId90" Type="http://schemas.openxmlformats.org/officeDocument/2006/relationships/hyperlink" Target="https://media.spreadthesign.com/video/mp4/12/31914.mp4" TargetMode="External"/><Relationship Id="rId95" Type="http://schemas.openxmlformats.org/officeDocument/2006/relationships/hyperlink" Target="https://www.minetegn.no/Tegnordbok-HTML/videos/haape.mp4" TargetMode="External"/><Relationship Id="rId22" Type="http://schemas.openxmlformats.org/officeDocument/2006/relationships/hyperlink" Target="https://media.spreadthesign.com/video/mp4/12/296544.mp4" TargetMode="External"/><Relationship Id="rId27" Type="http://schemas.openxmlformats.org/officeDocument/2006/relationships/hyperlink" Target="https://www.minetegn.no/Tegnordbok-HTML/videos/slaass.mp4" TargetMode="External"/><Relationship Id="rId43" Type="http://schemas.openxmlformats.org/officeDocument/2006/relationships/hyperlink" Target="https://www.minetegn.no/Tegnordbok-HTML/videos/maale-2.mp4" TargetMode="External"/><Relationship Id="rId48" Type="http://schemas.openxmlformats.org/officeDocument/2006/relationships/hyperlink" Target="https://media.spreadthesign.com/video/mp4/12/319985.mp4" TargetMode="External"/><Relationship Id="rId64" Type="http://schemas.openxmlformats.org/officeDocument/2006/relationships/hyperlink" Target="https://media.spreadthesign.com/video/mp4/12/17579.mp4" TargetMode="External"/><Relationship Id="rId69" Type="http://schemas.openxmlformats.org/officeDocument/2006/relationships/hyperlink" Target="https://www.minetegn.no/Tegnordbok-HTML/videos/medisin.mp4" TargetMode="External"/><Relationship Id="rId80" Type="http://schemas.openxmlformats.org/officeDocument/2006/relationships/hyperlink" Target="https://media.spreadthesign.com/video/mp4/12/17011.mp4" TargetMode="External"/><Relationship Id="rId85" Type="http://schemas.openxmlformats.org/officeDocument/2006/relationships/hyperlink" Target="https://www.minetegn.no/Tegnordbok-HTML/videos/bruke.mp4" TargetMode="External"/><Relationship Id="rId3" Type="http://schemas.openxmlformats.org/officeDocument/2006/relationships/hyperlink" Target="https://www.minetegn.no/Tegnordbok-HTML/videos/fotball.mp4" TargetMode="External"/><Relationship Id="rId12" Type="http://schemas.openxmlformats.org/officeDocument/2006/relationships/hyperlink" Target="https://media.spreadthesign.com/video/mp4/12/5119.mp4" TargetMode="External"/><Relationship Id="rId17" Type="http://schemas.openxmlformats.org/officeDocument/2006/relationships/hyperlink" Target="https://www.minetegn.no/Tegnordbok-HTML/videos/doe.mp4" TargetMode="External"/><Relationship Id="rId25" Type="http://schemas.openxmlformats.org/officeDocument/2006/relationships/hyperlink" Target="https://www.minetegn.no/Tegnordbok-HTML/videos/blod-3.mp4" TargetMode="External"/><Relationship Id="rId33" Type="http://schemas.openxmlformats.org/officeDocument/2006/relationships/hyperlink" Target="https://www.minetegn.no/Tegnordbok-HTML/videos/marsjere.mp4" TargetMode="External"/><Relationship Id="rId38" Type="http://schemas.openxmlformats.org/officeDocument/2006/relationships/hyperlink" Target="https://media.spreadthesign.com/video/mp4/12/889.mp4" TargetMode="External"/><Relationship Id="rId46" Type="http://schemas.openxmlformats.org/officeDocument/2006/relationships/hyperlink" Target="https://media.spreadthesign.com/video/mp4/12/18729.mp4" TargetMode="External"/><Relationship Id="rId59" Type="http://schemas.openxmlformats.org/officeDocument/2006/relationships/hyperlink" Target="https://www.minetegn.no/Tegnordbok-HTML/videos/gaa-2.mp4" TargetMode="External"/><Relationship Id="rId67" Type="http://schemas.openxmlformats.org/officeDocument/2006/relationships/hyperlink" Target="https://www.minetegn.no/Tegnordbok-HTML/videos/sove.mp4" TargetMode="External"/><Relationship Id="rId20" Type="http://schemas.openxmlformats.org/officeDocument/2006/relationships/hyperlink" Target="https://media.spreadthesign.com/video/mp4/12/10060.mp4" TargetMode="External"/><Relationship Id="rId41" Type="http://schemas.openxmlformats.org/officeDocument/2006/relationships/hyperlink" Target="https://www.minetegn.no/Tegnordbok-HTML/videos/president.mp4" TargetMode="External"/><Relationship Id="rId54" Type="http://schemas.openxmlformats.org/officeDocument/2006/relationships/hyperlink" Target="https://media.spreadthesign.com/video/mp4/12/8842.mp4" TargetMode="External"/><Relationship Id="rId62" Type="http://schemas.openxmlformats.org/officeDocument/2006/relationships/hyperlink" Target="https://media.spreadthesign.com/video/mp4/12/27606.mp4" TargetMode="External"/><Relationship Id="rId70" Type="http://schemas.openxmlformats.org/officeDocument/2006/relationships/hyperlink" Target="https://media.spreadthesign.com/video/mp4/12/294937.mp4" TargetMode="External"/><Relationship Id="rId75" Type="http://schemas.openxmlformats.org/officeDocument/2006/relationships/hyperlink" Target="https://www.minetegn.no/Tegnordbok-HTML/videos/fornaermet-fornaermelse.mp4" TargetMode="External"/><Relationship Id="rId83" Type="http://schemas.openxmlformats.org/officeDocument/2006/relationships/hyperlink" Target="https://www.minetegn.no/Tegnordbok-HTML/videos/mikroboelgeovn.mp4" TargetMode="External"/><Relationship Id="rId88" Type="http://schemas.openxmlformats.org/officeDocument/2006/relationships/hyperlink" Target="https://media.spreadthesign.com/video/mp4/12/295464.mp4" TargetMode="External"/><Relationship Id="rId91" Type="http://schemas.openxmlformats.org/officeDocument/2006/relationships/hyperlink" Target="https://www.minetegn.no/Tegnordbok-HTML/videos/kysse.mp4" TargetMode="External"/><Relationship Id="rId96" Type="http://schemas.openxmlformats.org/officeDocument/2006/relationships/hyperlink" Target="https://media.spreadthesign.com/video/mp4/12/100397.mp4" TargetMode="External"/><Relationship Id="rId1" Type="http://schemas.openxmlformats.org/officeDocument/2006/relationships/hyperlink" Target="https://www.minetegn.no/Tegnordbok-HTML/videos/tegne.mp4" TargetMode="External"/><Relationship Id="rId6" Type="http://schemas.openxmlformats.org/officeDocument/2006/relationships/hyperlink" Target="https://media.spreadthesign.com/video/mp4/12/15370.mp4" TargetMode="External"/><Relationship Id="rId15" Type="http://schemas.openxmlformats.org/officeDocument/2006/relationships/hyperlink" Target="https://www.minetegn.no/Tegnordbok-HTML/videos/flytte-2.mp4" TargetMode="External"/><Relationship Id="rId23" Type="http://schemas.openxmlformats.org/officeDocument/2006/relationships/hyperlink" Target="https://www.minetegn.no/Tegnordbok-HTML/videos/snoe.mp4" TargetMode="External"/><Relationship Id="rId28" Type="http://schemas.openxmlformats.org/officeDocument/2006/relationships/hyperlink" Target="https://youtu.be/peOPB_hfXt8" TargetMode="External"/><Relationship Id="rId36" Type="http://schemas.openxmlformats.org/officeDocument/2006/relationships/hyperlink" Target="https://media.spreadthesign.com/video/mp4/12/319269.mp4" TargetMode="External"/><Relationship Id="rId49" Type="http://schemas.openxmlformats.org/officeDocument/2006/relationships/hyperlink" Target="https://www.minetegn.no/Tegnordbok-HTML/videos/maskin.mp4" TargetMode="External"/><Relationship Id="rId57" Type="http://schemas.openxmlformats.org/officeDocument/2006/relationships/hyperlink" Target="https://www.minetegn.no/Tegnordbok-HTML/videos/venn.mp4" TargetMode="External"/><Relationship Id="rId10" Type="http://schemas.openxmlformats.org/officeDocument/2006/relationships/hyperlink" Target="https://media.spreadthesign.com/video/mp4/12/31703.mp4" TargetMode="External"/><Relationship Id="rId31" Type="http://schemas.openxmlformats.org/officeDocument/2006/relationships/hyperlink" Target="https://www.minetegn.no/Tegnordbok-HTML/videos/bo.mp4" TargetMode="External"/><Relationship Id="rId44" Type="http://schemas.openxmlformats.org/officeDocument/2006/relationships/hyperlink" Target="https://media.spreadthesign.com/video/mp4/12/15803.mp4" TargetMode="External"/><Relationship Id="rId52" Type="http://schemas.openxmlformats.org/officeDocument/2006/relationships/hyperlink" Target="https://media.spreadthesign.com/video/mp4/12/319119.mp4" TargetMode="External"/><Relationship Id="rId60" Type="http://schemas.openxmlformats.org/officeDocument/2006/relationships/hyperlink" Target="https://media.spreadthesign.com/video/mp4/12/16689.mp4" TargetMode="External"/><Relationship Id="rId65" Type="http://schemas.openxmlformats.org/officeDocument/2006/relationships/hyperlink" Target="https://www.minetegn.no/Tegnordbok-HTML/videos/moete-holde-moete.mp4" TargetMode="External"/><Relationship Id="rId73" Type="http://schemas.openxmlformats.org/officeDocument/2006/relationships/hyperlink" Target="https://www.minetegn.no/Tegnordbok-HTML/videos/brann.mp4" TargetMode="External"/><Relationship Id="rId78" Type="http://schemas.openxmlformats.org/officeDocument/2006/relationships/hyperlink" Target="https://media.spreadthesign.com/video/mp4/12/43570.mp4" TargetMode="External"/><Relationship Id="rId81" Type="http://schemas.openxmlformats.org/officeDocument/2006/relationships/hyperlink" Target="https://www.minetegn.no/Tegnordbok-HTML/videos/koke.mp4" TargetMode="External"/><Relationship Id="rId86" Type="http://schemas.openxmlformats.org/officeDocument/2006/relationships/hyperlink" Target="https://media.spreadthesign.com/video/mp4/12/319013.mp4" TargetMode="External"/><Relationship Id="rId94" Type="http://schemas.openxmlformats.org/officeDocument/2006/relationships/hyperlink" Target="https://media.spreadthesign.com/video/mp4/12/15154.mp4" TargetMode="External"/><Relationship Id="rId4" Type="http://schemas.openxmlformats.org/officeDocument/2006/relationships/hyperlink" Target="https://media.spreadthesign.com/video/mp4/12/4614.mp4" TargetMode="External"/><Relationship Id="rId9" Type="http://schemas.openxmlformats.org/officeDocument/2006/relationships/hyperlink" Target="https://www.minetegn.no/Tegnordbok-HTML/videos/kirke.mp4" TargetMode="External"/><Relationship Id="rId13" Type="http://schemas.openxmlformats.org/officeDocument/2006/relationships/hyperlink" Target="https://www.minetegn.no/Tegnordbok-HTML/videos/jord-2.mp4" TargetMode="External"/><Relationship Id="rId18" Type="http://schemas.openxmlformats.org/officeDocument/2006/relationships/hyperlink" Target="https://media.spreadthesign.com/video/mp4/12/16417.mp4" TargetMode="External"/><Relationship Id="rId39" Type="http://schemas.openxmlformats.org/officeDocument/2006/relationships/hyperlink" Target="https://www.minetegn.no/Tegnordbok-HTML/videos/knytte-1.mp4" TargetMode="External"/><Relationship Id="rId34" Type="http://schemas.openxmlformats.org/officeDocument/2006/relationships/hyperlink" Target="https://media.spreadthesign.com/video/mp4/12/107553.mp4" TargetMode="External"/><Relationship Id="rId50" Type="http://schemas.openxmlformats.org/officeDocument/2006/relationships/hyperlink" Target="https://media.spreadthesign.com/video/mp4/12/208.mp4" TargetMode="External"/><Relationship Id="rId55" Type="http://schemas.openxmlformats.org/officeDocument/2006/relationships/hyperlink" Target="https://www.minetegn.no/Tegnordbok-HTML/videos/foredrag.mp4" TargetMode="External"/><Relationship Id="rId76" Type="http://schemas.openxmlformats.org/officeDocument/2006/relationships/hyperlink" Target="https://media.spreadthesign.com/video/mp4/12/43678.mp4" TargetMode="External"/><Relationship Id="rId97" Type="http://schemas.openxmlformats.org/officeDocument/2006/relationships/printerSettings" Target="../printerSettings/printerSettings4.bin"/><Relationship Id="rId7" Type="http://schemas.openxmlformats.org/officeDocument/2006/relationships/hyperlink" Target="https://www.minetegn.no/Tegnordbok-HTML/videos/snakke.mp4" TargetMode="External"/><Relationship Id="rId71" Type="http://schemas.openxmlformats.org/officeDocument/2006/relationships/hyperlink" Target="https://www.minetegn.no/Tegnordbok-HTML/videos/kaste.mp4" TargetMode="External"/><Relationship Id="rId92" Type="http://schemas.openxmlformats.org/officeDocument/2006/relationships/hyperlink" Target="https://media.spreadthesign.com/video/mp4/12/17549.mp4" TargetMode="External"/><Relationship Id="rId2" Type="http://schemas.openxmlformats.org/officeDocument/2006/relationships/hyperlink" Target="https://media.spreadthesign.com/video/mp4/12/16819.mp4" TargetMode="External"/><Relationship Id="rId29" Type="http://schemas.openxmlformats.org/officeDocument/2006/relationships/hyperlink" Target="https://www.minetegn.no/Tegnordbok-HTML/videos/hansker.mp4" TargetMode="External"/><Relationship Id="rId24" Type="http://schemas.openxmlformats.org/officeDocument/2006/relationships/hyperlink" Target="https://media.spreadthesign.com/video/mp4/12/99932.mp4" TargetMode="External"/><Relationship Id="rId40" Type="http://schemas.openxmlformats.org/officeDocument/2006/relationships/hyperlink" Target="https://youtu.be/LsfOs7gaY0Y" TargetMode="External"/><Relationship Id="rId45" Type="http://schemas.openxmlformats.org/officeDocument/2006/relationships/hyperlink" Target="https://www.minetegn.no/Tegnordbok-HTML/videos/leir.mp4" TargetMode="External"/><Relationship Id="rId66" Type="http://schemas.openxmlformats.org/officeDocument/2006/relationships/hyperlink" Target="https://media.spreadthesign.com/video/mp4/12/5419.mp4" TargetMode="External"/><Relationship Id="rId87" Type="http://schemas.openxmlformats.org/officeDocument/2006/relationships/hyperlink" Target="https://www.minetegn.no/Tegnordbok-HTML/videos/kvinne.mp4" TargetMode="External"/><Relationship Id="rId61" Type="http://schemas.openxmlformats.org/officeDocument/2006/relationships/hyperlink" Target="https://www.minetegn.no/Tegnordbok-HTML/videos/helse-1.mp4" TargetMode="External"/><Relationship Id="rId82" Type="http://schemas.openxmlformats.org/officeDocument/2006/relationships/hyperlink" Target="https://media.spreadthesign.com/video/mp4/12/8241.mp4" TargetMode="External"/><Relationship Id="rId19" Type="http://schemas.openxmlformats.org/officeDocument/2006/relationships/hyperlink" Target="https://www.minetegn.no/Tegnordbok-HTML/videos/kjoett.mp4" TargetMode="External"/><Relationship Id="rId14" Type="http://schemas.openxmlformats.org/officeDocument/2006/relationships/hyperlink" Target="https://media.spreadthesign.com/video/mp4/12/17154.mp4" TargetMode="External"/><Relationship Id="rId30" Type="http://schemas.openxmlformats.org/officeDocument/2006/relationships/hyperlink" Target="https://media.spreadthesign.com/video/mp4/12/31724.mp4" TargetMode="External"/><Relationship Id="rId35" Type="http://schemas.openxmlformats.org/officeDocument/2006/relationships/hyperlink" Target="https://www.minetegn.no/Tegnordbok-HTML/videos/bekymret.mp4" TargetMode="External"/><Relationship Id="rId56" Type="http://schemas.openxmlformats.org/officeDocument/2006/relationships/hyperlink" Target="https://media.spreadthesign.com/video/mp4/12/100235.mp4" TargetMode="External"/><Relationship Id="rId77" Type="http://schemas.openxmlformats.org/officeDocument/2006/relationships/hyperlink" Target="https://www.minetegn.no/Tegnordbok-HTML/videos/diplom.mp4" TargetMode="External"/><Relationship Id="rId8" Type="http://schemas.openxmlformats.org/officeDocument/2006/relationships/hyperlink" Target="https://media.spreadthesign.com/video/mp4/13/50902.mp4" TargetMode="External"/><Relationship Id="rId51" Type="http://schemas.openxmlformats.org/officeDocument/2006/relationships/hyperlink" Target="https://www.minetegn.no/Tegnordbok-HTML/videos/lage.mp4" TargetMode="External"/><Relationship Id="rId72" Type="http://schemas.openxmlformats.org/officeDocument/2006/relationships/hyperlink" Target="https://youtu.be/CZqv1w42cTg" TargetMode="External"/><Relationship Id="rId93" Type="http://schemas.openxmlformats.org/officeDocument/2006/relationships/hyperlink" Target="https://www.minetegn.no/Tegnordbok-HTML/videos/dyr.mp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89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W53" sqref="W53"/>
    </sheetView>
  </sheetViews>
  <sheetFormatPr defaultColWidth="12.5703125" defaultRowHeight="15.75" customHeight="1" x14ac:dyDescent="0.2"/>
  <cols>
    <col min="1" max="9" width="11.140625" customWidth="1"/>
    <col min="10" max="10" width="19.42578125" customWidth="1"/>
    <col min="11" max="11" width="12.5703125" customWidth="1"/>
    <col min="12" max="12" width="11.140625" customWidth="1"/>
    <col min="13" max="15" width="29.85546875" customWidth="1"/>
    <col min="16" max="16" width="14.7109375" customWidth="1"/>
    <col min="17" max="18" width="22.42578125" customWidth="1"/>
    <col min="19" max="19" width="9.140625" customWidth="1"/>
    <col min="20" max="20" width="12" customWidth="1"/>
    <col min="21" max="21" width="10.5703125" customWidth="1"/>
    <col min="22" max="22" width="10.42578125" customWidth="1"/>
    <col min="23" max="23" width="12.7109375" customWidth="1"/>
    <col min="24" max="24" width="11.85546875" customWidth="1"/>
    <col min="25" max="27" width="12.7109375" customWidth="1"/>
    <col min="28" max="28" width="11.42578125" customWidth="1"/>
    <col min="29" max="30" width="17.7109375" customWidth="1"/>
  </cols>
  <sheetData>
    <row r="1" spans="1:3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</row>
    <row r="2" spans="1:30" ht="12.75" x14ac:dyDescent="0.2">
      <c r="A2" s="5">
        <v>27</v>
      </c>
      <c r="B2" s="5">
        <v>3</v>
      </c>
      <c r="C2" s="5" t="s">
        <v>30</v>
      </c>
      <c r="D2" s="5" t="str">
        <f t="shared" ref="D2:D11" si="0">CONCATENATE(PROPER(E2),".mp4")</f>
        <v>Gutt.mp4</v>
      </c>
      <c r="E2" s="5" t="s">
        <v>31</v>
      </c>
      <c r="F2" s="5">
        <v>1700</v>
      </c>
      <c r="G2" s="6" t="s">
        <v>32</v>
      </c>
      <c r="H2" s="5" t="s">
        <v>33</v>
      </c>
      <c r="I2" s="5" t="s">
        <v>34</v>
      </c>
      <c r="J2" s="7" t="str">
        <f t="shared" ref="J2:J49" si="1">CONCATENATE(A2,".mp4")</f>
        <v>27.mp4</v>
      </c>
      <c r="K2" s="5">
        <v>1900</v>
      </c>
      <c r="L2" s="6" t="s">
        <v>35</v>
      </c>
      <c r="M2" s="5" t="s">
        <v>36</v>
      </c>
      <c r="N2" s="7" t="str">
        <f t="shared" ref="N2:N49" si="2">CONCATENATE(PROPER(C2)," 1",".jpg")</f>
        <v>Boy 1.jpg</v>
      </c>
      <c r="O2" s="5" t="s">
        <v>37</v>
      </c>
      <c r="P2" s="5" t="s">
        <v>38</v>
      </c>
      <c r="Q2" s="5" t="s">
        <v>39</v>
      </c>
      <c r="R2" s="5" t="str">
        <f t="shared" ref="R2:R49" si="3">CONCATENATE(PROPER(C2)," 2",".jpg")</f>
        <v>Boy 2.jpg</v>
      </c>
      <c r="S2" s="5" t="s">
        <v>40</v>
      </c>
      <c r="T2" s="5" t="s">
        <v>41</v>
      </c>
      <c r="U2" s="5" t="s">
        <v>42</v>
      </c>
      <c r="V2" s="5" t="s">
        <v>43</v>
      </c>
      <c r="W2" s="5">
        <f>97+1</f>
        <v>98</v>
      </c>
      <c r="X2" s="8">
        <f t="shared" ref="X2:X49" si="4">TRUNC(LOG(W2),2)</f>
        <v>1.99</v>
      </c>
      <c r="Y2" s="5">
        <v>192.84</v>
      </c>
      <c r="Z2" s="5">
        <f t="shared" ref="Z2:Z49" si="5">TRUNC(LOG(Y2),2)</f>
        <v>2.2799999999999998</v>
      </c>
      <c r="AA2" s="5">
        <v>100</v>
      </c>
      <c r="AB2" s="5">
        <f t="shared" ref="AB2:AB14" si="6">TRUNC(LOG(AA2),2)</f>
        <v>2</v>
      </c>
      <c r="AC2" s="9">
        <v>185.04</v>
      </c>
      <c r="AD2" s="5">
        <f t="shared" ref="AD2:AD49" si="7">TRUNC(LOG(AC2),2)</f>
        <v>2.2599999999999998</v>
      </c>
    </row>
    <row r="3" spans="1:30" ht="12.75" x14ac:dyDescent="0.2">
      <c r="A3" s="5">
        <v>28</v>
      </c>
      <c r="B3" s="5">
        <v>4</v>
      </c>
      <c r="C3" s="5" t="s">
        <v>44</v>
      </c>
      <c r="D3" s="5" t="str">
        <f t="shared" si="0"/>
        <v>Barn.mp4</v>
      </c>
      <c r="E3" s="5" t="s">
        <v>45</v>
      </c>
      <c r="F3" s="5">
        <v>1800</v>
      </c>
      <c r="G3" s="10" t="s">
        <v>46</v>
      </c>
      <c r="H3" s="5" t="s">
        <v>33</v>
      </c>
      <c r="I3" s="5" t="s">
        <v>47</v>
      </c>
      <c r="J3" s="7" t="str">
        <f t="shared" si="1"/>
        <v>28.mp4</v>
      </c>
      <c r="K3" s="5">
        <v>1900</v>
      </c>
      <c r="L3" s="6" t="s">
        <v>48</v>
      </c>
      <c r="M3" s="5" t="s">
        <v>49</v>
      </c>
      <c r="N3" s="7" t="str">
        <f t="shared" si="2"/>
        <v>Children 1.jpg</v>
      </c>
      <c r="O3" s="5" t="s">
        <v>50</v>
      </c>
      <c r="P3" s="5" t="s">
        <v>38</v>
      </c>
      <c r="Q3" s="5" t="s">
        <v>51</v>
      </c>
      <c r="R3" s="5" t="str">
        <f t="shared" si="3"/>
        <v>Children 2.jpg</v>
      </c>
      <c r="S3" s="5" t="s">
        <v>40</v>
      </c>
      <c r="T3" s="5" t="s">
        <v>41</v>
      </c>
      <c r="U3" s="5" t="s">
        <v>42</v>
      </c>
      <c r="V3" s="5" t="s">
        <v>52</v>
      </c>
      <c r="W3" s="5">
        <f>64+7</f>
        <v>71</v>
      </c>
      <c r="X3" s="8">
        <f t="shared" si="4"/>
        <v>1.85</v>
      </c>
      <c r="Y3" s="5">
        <v>576.79</v>
      </c>
      <c r="Z3" s="5">
        <f t="shared" si="5"/>
        <v>2.76</v>
      </c>
      <c r="AA3" s="5">
        <v>200</v>
      </c>
      <c r="AB3" s="5">
        <f t="shared" si="6"/>
        <v>2.2999999999999998</v>
      </c>
      <c r="AC3" s="9">
        <v>0.49</v>
      </c>
      <c r="AD3" s="5">
        <f t="shared" si="7"/>
        <v>-0.3</v>
      </c>
    </row>
    <row r="4" spans="1:30" ht="12.75" x14ac:dyDescent="0.2">
      <c r="A4" s="5">
        <v>31</v>
      </c>
      <c r="B4" s="5">
        <v>7</v>
      </c>
      <c r="C4" s="5" t="s">
        <v>53</v>
      </c>
      <c r="D4" s="5" t="str">
        <f t="shared" si="0"/>
        <v>Ørn.mp4</v>
      </c>
      <c r="E4" s="5" t="s">
        <v>54</v>
      </c>
      <c r="F4" s="5">
        <v>1400</v>
      </c>
      <c r="G4" s="6" t="s">
        <v>55</v>
      </c>
      <c r="H4" s="5" t="s">
        <v>33</v>
      </c>
      <c r="I4" s="5" t="s">
        <v>56</v>
      </c>
      <c r="J4" s="7" t="str">
        <f t="shared" si="1"/>
        <v>31.mp4</v>
      </c>
      <c r="K4" s="5">
        <v>1700</v>
      </c>
      <c r="L4" s="6" t="s">
        <v>57</v>
      </c>
      <c r="M4" s="5" t="s">
        <v>58</v>
      </c>
      <c r="N4" s="7" t="str">
        <f t="shared" si="2"/>
        <v>Eagle 1.jpg</v>
      </c>
      <c r="O4" s="5" t="s">
        <v>58</v>
      </c>
      <c r="P4" s="5" t="s">
        <v>38</v>
      </c>
      <c r="Q4" s="5" t="s">
        <v>59</v>
      </c>
      <c r="R4" s="5" t="str">
        <f t="shared" si="3"/>
        <v>Eagle 2.jpg</v>
      </c>
      <c r="S4" s="5" t="s">
        <v>40</v>
      </c>
      <c r="T4" s="5" t="s">
        <v>41</v>
      </c>
      <c r="U4" s="5" t="s">
        <v>42</v>
      </c>
      <c r="V4" s="5" t="s">
        <v>43</v>
      </c>
      <c r="W4" s="5">
        <f>1+1</f>
        <v>2</v>
      </c>
      <c r="X4" s="8">
        <f t="shared" si="4"/>
        <v>0.3</v>
      </c>
      <c r="Y4" s="5">
        <v>1</v>
      </c>
      <c r="Z4" s="5">
        <f t="shared" si="5"/>
        <v>0</v>
      </c>
      <c r="AA4" s="5">
        <v>1</v>
      </c>
      <c r="AB4" s="5">
        <f t="shared" si="6"/>
        <v>0</v>
      </c>
      <c r="AC4" s="9">
        <v>24.97</v>
      </c>
      <c r="AD4" s="5">
        <f t="shared" si="7"/>
        <v>1.39</v>
      </c>
    </row>
    <row r="5" spans="1:30" ht="12.75" x14ac:dyDescent="0.2">
      <c r="A5" s="5">
        <v>32</v>
      </c>
      <c r="B5" s="5">
        <v>8</v>
      </c>
      <c r="C5" s="5" t="s">
        <v>60</v>
      </c>
      <c r="D5" s="5" t="str">
        <f t="shared" si="0"/>
        <v>Familie.mp4</v>
      </c>
      <c r="E5" s="5" t="s">
        <v>61</v>
      </c>
      <c r="F5" s="5">
        <v>1700</v>
      </c>
      <c r="G5" s="6" t="s">
        <v>62</v>
      </c>
      <c r="H5" s="5" t="s">
        <v>33</v>
      </c>
      <c r="I5" s="5" t="s">
        <v>63</v>
      </c>
      <c r="J5" s="7" t="str">
        <f t="shared" si="1"/>
        <v>32.mp4</v>
      </c>
      <c r="K5" s="5">
        <v>1600</v>
      </c>
      <c r="L5" s="6" t="s">
        <v>64</v>
      </c>
      <c r="M5" s="5" t="s">
        <v>65</v>
      </c>
      <c r="N5" s="7" t="str">
        <f t="shared" si="2"/>
        <v>Family 1.jpg</v>
      </c>
      <c r="O5" s="5" t="s">
        <v>65</v>
      </c>
      <c r="P5" s="5" t="s">
        <v>38</v>
      </c>
      <c r="Q5" s="5" t="s">
        <v>66</v>
      </c>
      <c r="R5" s="5" t="str">
        <f t="shared" si="3"/>
        <v>Family 2.jpg</v>
      </c>
      <c r="S5" s="5" t="s">
        <v>40</v>
      </c>
      <c r="T5" s="5" t="s">
        <v>41</v>
      </c>
      <c r="U5" s="5" t="s">
        <v>42</v>
      </c>
      <c r="V5" s="5" t="s">
        <v>43</v>
      </c>
      <c r="W5" s="5">
        <v>13</v>
      </c>
      <c r="X5" s="8">
        <f t="shared" si="4"/>
        <v>1.1100000000000001</v>
      </c>
      <c r="Y5" s="5">
        <v>1</v>
      </c>
      <c r="Z5" s="5">
        <f t="shared" si="5"/>
        <v>0</v>
      </c>
      <c r="AA5" s="5">
        <v>72</v>
      </c>
      <c r="AB5" s="5">
        <f t="shared" si="6"/>
        <v>1.85</v>
      </c>
      <c r="AC5" s="9">
        <v>234.37</v>
      </c>
      <c r="AD5" s="5">
        <f t="shared" si="7"/>
        <v>2.36</v>
      </c>
    </row>
    <row r="6" spans="1:30" ht="12.75" x14ac:dyDescent="0.2">
      <c r="A6" s="5">
        <v>37</v>
      </c>
      <c r="B6" s="5">
        <v>1</v>
      </c>
      <c r="C6" s="5" t="s">
        <v>67</v>
      </c>
      <c r="D6" s="5" t="str">
        <f t="shared" si="0"/>
        <v>Puste.mp4</v>
      </c>
      <c r="E6" s="5" t="s">
        <v>68</v>
      </c>
      <c r="F6" s="5">
        <v>1800</v>
      </c>
      <c r="G6" s="6" t="s">
        <v>69</v>
      </c>
      <c r="H6" s="5" t="s">
        <v>33</v>
      </c>
      <c r="I6" s="5" t="s">
        <v>70</v>
      </c>
      <c r="J6" s="7" t="str">
        <f t="shared" si="1"/>
        <v>37.mp4</v>
      </c>
      <c r="K6" s="5">
        <v>1400</v>
      </c>
      <c r="L6" s="6" t="s">
        <v>71</v>
      </c>
      <c r="M6" s="5" t="s">
        <v>72</v>
      </c>
      <c r="N6" s="7" t="str">
        <f t="shared" si="2"/>
        <v>Breathe 1.jpg</v>
      </c>
      <c r="O6" s="5" t="s">
        <v>72</v>
      </c>
      <c r="P6" s="11" t="str">
        <f>IF(O6=M6,"match", "nomatch")</f>
        <v>match</v>
      </c>
      <c r="Q6" s="5" t="s">
        <v>73</v>
      </c>
      <c r="R6" s="5" t="str">
        <f t="shared" si="3"/>
        <v>Breathe 2.jpg</v>
      </c>
      <c r="S6" s="5" t="s">
        <v>74</v>
      </c>
      <c r="T6" s="5" t="s">
        <v>75</v>
      </c>
      <c r="U6" s="5" t="s">
        <v>76</v>
      </c>
      <c r="V6" s="5" t="s">
        <v>52</v>
      </c>
      <c r="W6" s="5">
        <v>4</v>
      </c>
      <c r="X6" s="8">
        <f t="shared" si="4"/>
        <v>0.6</v>
      </c>
      <c r="Y6" s="5">
        <v>16.079999999999998</v>
      </c>
      <c r="Z6" s="5">
        <f t="shared" si="5"/>
        <v>1.2</v>
      </c>
      <c r="AA6" s="12">
        <v>6</v>
      </c>
      <c r="AB6" s="5">
        <f t="shared" si="6"/>
        <v>0.77</v>
      </c>
      <c r="AC6" s="9">
        <v>66.599999999999994</v>
      </c>
      <c r="AD6" s="5">
        <f t="shared" si="7"/>
        <v>1.82</v>
      </c>
    </row>
    <row r="7" spans="1:30" ht="12.75" x14ac:dyDescent="0.2">
      <c r="A7" s="5">
        <v>38</v>
      </c>
      <c r="B7" s="5">
        <v>2</v>
      </c>
      <c r="C7" s="5" t="s">
        <v>77</v>
      </c>
      <c r="D7" s="5" t="str">
        <f t="shared" si="0"/>
        <v>Gråte.mp4</v>
      </c>
      <c r="E7" s="5" t="s">
        <v>78</v>
      </c>
      <c r="F7" s="5">
        <v>1500</v>
      </c>
      <c r="G7" s="6" t="s">
        <v>79</v>
      </c>
      <c r="H7" s="5" t="s">
        <v>33</v>
      </c>
      <c r="I7" s="5" t="s">
        <v>80</v>
      </c>
      <c r="J7" s="7" t="str">
        <f t="shared" si="1"/>
        <v>38.mp4</v>
      </c>
      <c r="K7" s="5">
        <v>1900</v>
      </c>
      <c r="L7" s="6" t="s">
        <v>81</v>
      </c>
      <c r="M7" s="5" t="s">
        <v>82</v>
      </c>
      <c r="N7" s="7" t="str">
        <f t="shared" si="2"/>
        <v>Cry 1.jpg</v>
      </c>
      <c r="O7" s="5" t="s">
        <v>83</v>
      </c>
      <c r="P7" s="11" t="s">
        <v>38</v>
      </c>
      <c r="Q7" s="5" t="s">
        <v>84</v>
      </c>
      <c r="R7" s="5" t="str">
        <f t="shared" si="3"/>
        <v>Cry 2.jpg</v>
      </c>
      <c r="S7" s="5" t="s">
        <v>74</v>
      </c>
      <c r="T7" s="5" t="s">
        <v>75</v>
      </c>
      <c r="U7" s="5" t="s">
        <v>76</v>
      </c>
      <c r="V7" s="5" t="s">
        <v>43</v>
      </c>
      <c r="W7" s="5">
        <v>2</v>
      </c>
      <c r="X7" s="12">
        <f t="shared" si="4"/>
        <v>0.3</v>
      </c>
      <c r="Y7" s="5">
        <v>19.09</v>
      </c>
      <c r="Z7" s="5">
        <f t="shared" si="5"/>
        <v>1.28</v>
      </c>
      <c r="AA7" s="12">
        <v>15</v>
      </c>
      <c r="AB7" s="5">
        <f t="shared" si="6"/>
        <v>1.17</v>
      </c>
      <c r="AC7" s="9">
        <v>131.77000000000001</v>
      </c>
      <c r="AD7" s="5">
        <f t="shared" si="7"/>
        <v>2.11</v>
      </c>
    </row>
    <row r="8" spans="1:30" ht="12.75" x14ac:dyDescent="0.2">
      <c r="A8" s="5">
        <v>43</v>
      </c>
      <c r="B8" s="5">
        <v>7</v>
      </c>
      <c r="C8" s="5" t="s">
        <v>85</v>
      </c>
      <c r="D8" s="5" t="str">
        <f t="shared" si="0"/>
        <v>Løpe.mp4</v>
      </c>
      <c r="E8" s="5" t="s">
        <v>86</v>
      </c>
      <c r="F8" s="5">
        <v>1600</v>
      </c>
      <c r="G8" s="6" t="s">
        <v>87</v>
      </c>
      <c r="H8" s="5" t="s">
        <v>33</v>
      </c>
      <c r="I8" s="5" t="s">
        <v>88</v>
      </c>
      <c r="J8" s="7" t="str">
        <f t="shared" si="1"/>
        <v>43.mp4</v>
      </c>
      <c r="K8" s="5">
        <v>1600</v>
      </c>
      <c r="L8" s="6" t="s">
        <v>89</v>
      </c>
      <c r="M8" s="5" t="s">
        <v>90</v>
      </c>
      <c r="N8" s="7" t="str">
        <f t="shared" si="2"/>
        <v>Run 1.jpg</v>
      </c>
      <c r="O8" s="5" t="s">
        <v>91</v>
      </c>
      <c r="P8" s="11" t="s">
        <v>38</v>
      </c>
      <c r="Q8" s="5" t="s">
        <v>92</v>
      </c>
      <c r="R8" s="5" t="str">
        <f t="shared" si="3"/>
        <v>Run 2.jpg</v>
      </c>
      <c r="S8" s="5" t="s">
        <v>74</v>
      </c>
      <c r="T8" s="5" t="s">
        <v>75</v>
      </c>
      <c r="U8" s="5" t="s">
        <v>76</v>
      </c>
      <c r="V8" s="5" t="s">
        <v>52</v>
      </c>
      <c r="W8" s="5">
        <v>14</v>
      </c>
      <c r="X8" s="8">
        <f t="shared" si="4"/>
        <v>1.1399999999999999</v>
      </c>
      <c r="Y8" s="5">
        <v>68.88</v>
      </c>
      <c r="Z8" s="5">
        <f t="shared" si="5"/>
        <v>1.83</v>
      </c>
      <c r="AA8" s="11">
        <v>150</v>
      </c>
      <c r="AB8" s="5">
        <f t="shared" si="6"/>
        <v>2.17</v>
      </c>
      <c r="AC8" s="9">
        <v>180.38</v>
      </c>
      <c r="AD8" s="5">
        <f t="shared" si="7"/>
        <v>2.25</v>
      </c>
    </row>
    <row r="9" spans="1:30" ht="12.75" x14ac:dyDescent="0.2">
      <c r="A9" s="5">
        <v>44</v>
      </c>
      <c r="B9" s="5">
        <v>8</v>
      </c>
      <c r="C9" s="5" t="s">
        <v>93</v>
      </c>
      <c r="D9" s="5" t="str">
        <f t="shared" si="0"/>
        <v>Synge.mp4</v>
      </c>
      <c r="E9" s="5" t="s">
        <v>94</v>
      </c>
      <c r="F9" s="5">
        <v>1400</v>
      </c>
      <c r="G9" s="6" t="s">
        <v>95</v>
      </c>
      <c r="H9" s="5" t="s">
        <v>33</v>
      </c>
      <c r="I9" s="5" t="s">
        <v>96</v>
      </c>
      <c r="J9" s="7" t="str">
        <f t="shared" si="1"/>
        <v>44.mp4</v>
      </c>
      <c r="K9" s="5">
        <v>1600</v>
      </c>
      <c r="L9" s="6" t="s">
        <v>97</v>
      </c>
      <c r="M9" s="5" t="s">
        <v>98</v>
      </c>
      <c r="N9" s="7" t="str">
        <f t="shared" si="2"/>
        <v>Sing 1.jpg</v>
      </c>
      <c r="O9" s="5" t="s">
        <v>98</v>
      </c>
      <c r="P9" s="11" t="str">
        <f>IF(O9=M9,"match", "nomatch")</f>
        <v>match</v>
      </c>
      <c r="Q9" s="5" t="s">
        <v>99</v>
      </c>
      <c r="R9" s="5" t="str">
        <f t="shared" si="3"/>
        <v>Sing 2.jpg</v>
      </c>
      <c r="S9" s="5" t="s">
        <v>74</v>
      </c>
      <c r="T9" s="5" t="s">
        <v>75</v>
      </c>
      <c r="U9" s="5" t="s">
        <v>76</v>
      </c>
      <c r="V9" s="5" t="s">
        <v>43</v>
      </c>
      <c r="W9" s="5">
        <v>1</v>
      </c>
      <c r="X9" s="8">
        <f t="shared" si="4"/>
        <v>0</v>
      </c>
      <c r="Y9" s="5">
        <v>68.11</v>
      </c>
      <c r="Z9" s="5">
        <f t="shared" si="5"/>
        <v>1.83</v>
      </c>
      <c r="AA9" s="12">
        <v>9</v>
      </c>
      <c r="AB9" s="5">
        <f t="shared" si="6"/>
        <v>0.95</v>
      </c>
      <c r="AC9" s="9">
        <v>148.03</v>
      </c>
      <c r="AD9" s="5">
        <f t="shared" si="7"/>
        <v>2.17</v>
      </c>
    </row>
    <row r="10" spans="1:30" ht="12.75" x14ac:dyDescent="0.2">
      <c r="A10" s="5">
        <v>46</v>
      </c>
      <c r="B10" s="5">
        <v>10</v>
      </c>
      <c r="C10" s="5" t="s">
        <v>100</v>
      </c>
      <c r="D10" s="5" t="str">
        <f t="shared" si="0"/>
        <v>Tror.mp4</v>
      </c>
      <c r="E10" s="5" t="s">
        <v>101</v>
      </c>
      <c r="F10" s="5">
        <v>1300</v>
      </c>
      <c r="G10" s="6" t="s">
        <v>102</v>
      </c>
      <c r="H10" s="5" t="s">
        <v>33</v>
      </c>
      <c r="I10" s="5" t="s">
        <v>103</v>
      </c>
      <c r="J10" s="7" t="str">
        <f t="shared" si="1"/>
        <v>46.mp4</v>
      </c>
      <c r="K10" s="5">
        <v>1700</v>
      </c>
      <c r="L10" s="6" t="s">
        <v>104</v>
      </c>
      <c r="M10" s="5" t="s">
        <v>105</v>
      </c>
      <c r="N10" s="7" t="str">
        <f t="shared" si="2"/>
        <v>Think 1.jpg</v>
      </c>
      <c r="O10" s="5" t="s">
        <v>106</v>
      </c>
      <c r="P10" s="11" t="s">
        <v>38</v>
      </c>
      <c r="Q10" s="5" t="s">
        <v>107</v>
      </c>
      <c r="R10" s="5" t="str">
        <f t="shared" si="3"/>
        <v>Think 2.jpg</v>
      </c>
      <c r="S10" s="5" t="s">
        <v>74</v>
      </c>
      <c r="T10" s="5" t="s">
        <v>75</v>
      </c>
      <c r="U10" s="5" t="s">
        <v>76</v>
      </c>
      <c r="V10" s="5" t="s">
        <v>52</v>
      </c>
      <c r="W10" s="5">
        <f>5+108</f>
        <v>113</v>
      </c>
      <c r="X10" s="8">
        <f t="shared" si="4"/>
        <v>2.0499999999999998</v>
      </c>
      <c r="Y10" s="5">
        <v>740.5</v>
      </c>
      <c r="Z10" s="5">
        <f t="shared" si="5"/>
        <v>2.86</v>
      </c>
      <c r="AA10" s="11">
        <v>200</v>
      </c>
      <c r="AB10" s="5">
        <f t="shared" si="6"/>
        <v>2.2999999999999998</v>
      </c>
      <c r="AC10" s="9">
        <v>809.44</v>
      </c>
      <c r="AD10" s="5">
        <f t="shared" si="7"/>
        <v>2.9</v>
      </c>
    </row>
    <row r="11" spans="1:30" ht="12.75" x14ac:dyDescent="0.2">
      <c r="A11" s="5">
        <v>42</v>
      </c>
      <c r="B11" s="5">
        <v>6</v>
      </c>
      <c r="C11" s="5" t="s">
        <v>108</v>
      </c>
      <c r="D11" s="5" t="str">
        <f t="shared" si="0"/>
        <v>Male.mp4</v>
      </c>
      <c r="E11" s="5" t="s">
        <v>109</v>
      </c>
      <c r="F11" s="5">
        <v>1500</v>
      </c>
      <c r="G11" s="6" t="s">
        <v>110</v>
      </c>
      <c r="H11" s="5" t="s">
        <v>33</v>
      </c>
      <c r="I11" s="5" t="s">
        <v>111</v>
      </c>
      <c r="J11" s="7" t="str">
        <f t="shared" si="1"/>
        <v>42.mp4</v>
      </c>
      <c r="K11" s="5">
        <v>1800</v>
      </c>
      <c r="L11" s="6" t="s">
        <v>112</v>
      </c>
      <c r="M11" s="5" t="s">
        <v>113</v>
      </c>
      <c r="N11" s="7" t="str">
        <f t="shared" si="2"/>
        <v>Paint 1.jpg</v>
      </c>
      <c r="O11" s="5" t="s">
        <v>113</v>
      </c>
      <c r="P11" s="11" t="str">
        <f>IF(O11=M11,"match", "nomatch")</f>
        <v>match</v>
      </c>
      <c r="Q11" s="5" t="s">
        <v>114</v>
      </c>
      <c r="R11" s="5" t="str">
        <f t="shared" si="3"/>
        <v>Paint 2.jpg</v>
      </c>
      <c r="S11" s="5" t="s">
        <v>74</v>
      </c>
      <c r="T11" s="5" t="s">
        <v>75</v>
      </c>
      <c r="U11" s="5" t="s">
        <v>115</v>
      </c>
      <c r="V11" s="5" t="s">
        <v>43</v>
      </c>
      <c r="W11" s="5">
        <f>1+5</f>
        <v>6</v>
      </c>
      <c r="X11" s="8">
        <f t="shared" si="4"/>
        <v>0.77</v>
      </c>
      <c r="Y11" s="5">
        <v>740.5</v>
      </c>
      <c r="Z11" s="5">
        <f t="shared" si="5"/>
        <v>2.86</v>
      </c>
      <c r="AA11" s="12">
        <v>33</v>
      </c>
      <c r="AB11" s="5">
        <f t="shared" si="6"/>
        <v>1.51</v>
      </c>
      <c r="AC11" s="9">
        <v>42.66</v>
      </c>
      <c r="AD11" s="5">
        <f t="shared" si="7"/>
        <v>1.63</v>
      </c>
    </row>
    <row r="12" spans="1:30" ht="12.75" x14ac:dyDescent="0.2">
      <c r="A12" s="5">
        <v>47</v>
      </c>
      <c r="B12" s="5">
        <v>11</v>
      </c>
      <c r="C12" s="13" t="s">
        <v>116</v>
      </c>
      <c r="D12" s="5" t="s">
        <v>117</v>
      </c>
      <c r="E12" s="13" t="s">
        <v>118</v>
      </c>
      <c r="F12" s="5">
        <v>1200</v>
      </c>
      <c r="G12" s="6" t="s">
        <v>119</v>
      </c>
      <c r="H12" s="5" t="s">
        <v>33</v>
      </c>
      <c r="I12" s="5" t="s">
        <v>120</v>
      </c>
      <c r="J12" s="7" t="str">
        <f t="shared" si="1"/>
        <v>47.mp4</v>
      </c>
      <c r="K12" s="13">
        <v>1500</v>
      </c>
      <c r="L12" s="14" t="s">
        <v>121</v>
      </c>
      <c r="M12" s="13" t="s">
        <v>122</v>
      </c>
      <c r="N12" s="7" t="str">
        <f t="shared" si="2"/>
        <v>Watch 1.jpg</v>
      </c>
      <c r="O12" s="13" t="s">
        <v>122</v>
      </c>
      <c r="P12" s="13" t="s">
        <v>38</v>
      </c>
      <c r="Q12" s="13" t="s">
        <v>123</v>
      </c>
      <c r="R12" s="5" t="str">
        <f t="shared" si="3"/>
        <v>Watch 2.jpg</v>
      </c>
      <c r="S12" s="13" t="s">
        <v>74</v>
      </c>
      <c r="T12" s="13" t="s">
        <v>75</v>
      </c>
      <c r="U12" s="13" t="s">
        <v>115</v>
      </c>
      <c r="V12" s="13" t="s">
        <v>43</v>
      </c>
      <c r="W12" s="9">
        <v>59</v>
      </c>
      <c r="X12" s="15">
        <f t="shared" si="4"/>
        <v>1.77</v>
      </c>
      <c r="Y12" s="5">
        <v>218.38</v>
      </c>
      <c r="Z12" s="5">
        <f t="shared" si="5"/>
        <v>2.33</v>
      </c>
      <c r="AA12" s="9">
        <v>500</v>
      </c>
      <c r="AB12" s="9">
        <f t="shared" si="6"/>
        <v>2.69</v>
      </c>
      <c r="AC12" s="9">
        <v>634.29</v>
      </c>
      <c r="AD12" s="5">
        <f t="shared" si="7"/>
        <v>2.8</v>
      </c>
    </row>
    <row r="13" spans="1:30" ht="12.75" x14ac:dyDescent="0.2">
      <c r="A13" s="5">
        <v>48</v>
      </c>
      <c r="B13" s="5">
        <v>12</v>
      </c>
      <c r="C13" s="5" t="s">
        <v>124</v>
      </c>
      <c r="D13" s="5" t="str">
        <f t="shared" ref="D13:D22" si="8">CONCATENATE(PROPER(E13),".mp4")</f>
        <v>Skrive.mp4</v>
      </c>
      <c r="E13" s="5" t="s">
        <v>125</v>
      </c>
      <c r="F13" s="5">
        <v>1500</v>
      </c>
      <c r="G13" s="6" t="s">
        <v>126</v>
      </c>
      <c r="H13" s="5" t="s">
        <v>33</v>
      </c>
      <c r="I13" s="5" t="s">
        <v>127</v>
      </c>
      <c r="J13" s="7" t="str">
        <f t="shared" si="1"/>
        <v>48.mp4</v>
      </c>
      <c r="K13" s="5">
        <v>1700</v>
      </c>
      <c r="L13" s="6" t="s">
        <v>128</v>
      </c>
      <c r="M13" s="5" t="s">
        <v>129</v>
      </c>
      <c r="N13" s="7" t="str">
        <f t="shared" si="2"/>
        <v>Write 1.jpg</v>
      </c>
      <c r="O13" s="5" t="s">
        <v>129</v>
      </c>
      <c r="P13" s="11" t="s">
        <v>38</v>
      </c>
      <c r="Q13" s="5" t="s">
        <v>130</v>
      </c>
      <c r="R13" s="5" t="str">
        <f t="shared" si="3"/>
        <v>Write 2.jpg</v>
      </c>
      <c r="S13" s="5" t="s">
        <v>74</v>
      </c>
      <c r="T13" s="5" t="s">
        <v>75</v>
      </c>
      <c r="U13" s="5" t="s">
        <v>115</v>
      </c>
      <c r="V13" s="5" t="s">
        <v>43</v>
      </c>
      <c r="W13" s="5">
        <f>2+2</f>
        <v>4</v>
      </c>
      <c r="X13" s="9">
        <f t="shared" si="4"/>
        <v>0.6</v>
      </c>
      <c r="Y13" s="5">
        <v>926.23</v>
      </c>
      <c r="Z13" s="5">
        <f t="shared" si="5"/>
        <v>2.96</v>
      </c>
      <c r="AA13" s="11">
        <v>66</v>
      </c>
      <c r="AB13" s="9">
        <f t="shared" si="6"/>
        <v>1.81</v>
      </c>
      <c r="AC13" s="9">
        <v>572.69000000000005</v>
      </c>
      <c r="AD13" s="5">
        <f t="shared" si="7"/>
        <v>2.75</v>
      </c>
    </row>
    <row r="14" spans="1:30" ht="12.75" x14ac:dyDescent="0.2">
      <c r="A14" s="5">
        <v>25</v>
      </c>
      <c r="B14" s="5">
        <v>1</v>
      </c>
      <c r="C14" s="5" t="s">
        <v>131</v>
      </c>
      <c r="D14" s="5" t="str">
        <f t="shared" si="8"/>
        <v>Pen.mp4</v>
      </c>
      <c r="E14" s="5" t="s">
        <v>132</v>
      </c>
      <c r="F14" s="5">
        <v>1800</v>
      </c>
      <c r="G14" s="6" t="s">
        <v>133</v>
      </c>
      <c r="H14" s="5" t="s">
        <v>33</v>
      </c>
      <c r="I14" s="5" t="s">
        <v>134</v>
      </c>
      <c r="J14" s="7" t="str">
        <f t="shared" si="1"/>
        <v>25.mp4</v>
      </c>
      <c r="K14" s="5">
        <v>1300</v>
      </c>
      <c r="L14" s="6" t="s">
        <v>135</v>
      </c>
      <c r="M14" s="5" t="s">
        <v>136</v>
      </c>
      <c r="N14" s="7" t="str">
        <f t="shared" si="2"/>
        <v>Beauty 1.jpg</v>
      </c>
      <c r="O14" s="5" t="s">
        <v>136</v>
      </c>
      <c r="P14" s="11" t="s">
        <v>38</v>
      </c>
      <c r="Q14" s="5" t="s">
        <v>137</v>
      </c>
      <c r="R14" s="5" t="str">
        <f t="shared" si="3"/>
        <v>Beauty 2.jpg</v>
      </c>
      <c r="S14" s="5" t="s">
        <v>40</v>
      </c>
      <c r="T14" s="5" t="s">
        <v>138</v>
      </c>
      <c r="U14" s="5" t="s">
        <v>139</v>
      </c>
      <c r="V14" s="5" t="s">
        <v>43</v>
      </c>
      <c r="W14" s="28">
        <v>12</v>
      </c>
      <c r="X14" s="8">
        <f t="shared" si="4"/>
        <v>1.07</v>
      </c>
      <c r="Y14" s="5">
        <v>67.27</v>
      </c>
      <c r="Z14" s="5">
        <f t="shared" si="5"/>
        <v>1.82</v>
      </c>
      <c r="AA14" s="28">
        <v>42</v>
      </c>
      <c r="AB14" s="5">
        <f t="shared" si="6"/>
        <v>1.62</v>
      </c>
      <c r="AC14" s="9">
        <v>107.92</v>
      </c>
      <c r="AD14" s="5">
        <f t="shared" si="7"/>
        <v>2.0299999999999998</v>
      </c>
    </row>
    <row r="15" spans="1:30" ht="12.75" x14ac:dyDescent="0.2">
      <c r="A15" s="5">
        <v>34</v>
      </c>
      <c r="B15" s="5">
        <v>10</v>
      </c>
      <c r="C15" s="5" t="s">
        <v>140</v>
      </c>
      <c r="D15" s="5" t="str">
        <f t="shared" si="8"/>
        <v>Endring.mp4</v>
      </c>
      <c r="E15" s="5" t="s">
        <v>141</v>
      </c>
      <c r="F15" s="5">
        <v>1000</v>
      </c>
      <c r="G15" s="10" t="s">
        <v>142</v>
      </c>
      <c r="H15" s="5" t="s">
        <v>33</v>
      </c>
      <c r="I15" s="5" t="s">
        <v>143</v>
      </c>
      <c r="J15" s="7" t="str">
        <f t="shared" si="1"/>
        <v>34.mp4</v>
      </c>
      <c r="K15" s="13">
        <v>1800</v>
      </c>
      <c r="L15" s="6" t="s">
        <v>144</v>
      </c>
      <c r="M15" s="13" t="s">
        <v>145</v>
      </c>
      <c r="N15" s="7" t="str">
        <f t="shared" si="2"/>
        <v>Change 1.jpg</v>
      </c>
      <c r="O15" s="13" t="s">
        <v>146</v>
      </c>
      <c r="P15" s="5" t="s">
        <v>38</v>
      </c>
      <c r="Q15" s="5" t="s">
        <v>147</v>
      </c>
      <c r="R15" s="5" t="str">
        <f t="shared" si="3"/>
        <v>Change 2.jpg</v>
      </c>
      <c r="S15" s="13" t="s">
        <v>40</v>
      </c>
      <c r="T15" s="5" t="s">
        <v>138</v>
      </c>
      <c r="U15" s="5" t="s">
        <v>139</v>
      </c>
      <c r="V15" s="5" t="s">
        <v>43</v>
      </c>
      <c r="W15" s="5">
        <v>1</v>
      </c>
      <c r="X15" s="12">
        <f t="shared" si="4"/>
        <v>0</v>
      </c>
      <c r="Y15" s="12">
        <v>169.28</v>
      </c>
      <c r="Z15" s="5">
        <f t="shared" si="5"/>
        <v>2.2200000000000002</v>
      </c>
      <c r="AA15" s="12">
        <v>12</v>
      </c>
      <c r="AB15" s="5">
        <v>0</v>
      </c>
      <c r="AC15" s="9">
        <v>108.63</v>
      </c>
      <c r="AD15" s="5">
        <f t="shared" si="7"/>
        <v>2.0299999999999998</v>
      </c>
    </row>
    <row r="16" spans="1:30" ht="12.75" x14ac:dyDescent="0.2">
      <c r="A16" s="5">
        <v>26</v>
      </c>
      <c r="B16" s="5">
        <v>2</v>
      </c>
      <c r="C16" s="5" t="s">
        <v>148</v>
      </c>
      <c r="D16" s="5" t="str">
        <f t="shared" si="8"/>
        <v>Bok.mp4</v>
      </c>
      <c r="E16" s="5" t="s">
        <v>149</v>
      </c>
      <c r="F16" s="5">
        <v>1400</v>
      </c>
      <c r="G16" s="6" t="s">
        <v>150</v>
      </c>
      <c r="H16" s="5" t="s">
        <v>33</v>
      </c>
      <c r="I16" s="5" t="s">
        <v>151</v>
      </c>
      <c r="J16" s="7" t="str">
        <f t="shared" si="1"/>
        <v>26.mp4</v>
      </c>
      <c r="K16" s="5">
        <v>1700</v>
      </c>
      <c r="L16" s="6" t="s">
        <v>152</v>
      </c>
      <c r="M16" s="5" t="s">
        <v>153</v>
      </c>
      <c r="N16" s="7" t="str">
        <f t="shared" si="2"/>
        <v>Book 1.jpg</v>
      </c>
      <c r="O16" s="5" t="s">
        <v>154</v>
      </c>
      <c r="P16" s="11" t="s">
        <v>38</v>
      </c>
      <c r="Q16" s="5" t="s">
        <v>155</v>
      </c>
      <c r="R16" s="5" t="str">
        <f t="shared" si="3"/>
        <v>Book 2.jpg</v>
      </c>
      <c r="S16" s="5" t="s">
        <v>40</v>
      </c>
      <c r="T16" s="5" t="s">
        <v>138</v>
      </c>
      <c r="U16" s="5" t="s">
        <v>42</v>
      </c>
      <c r="V16" s="5" t="s">
        <v>52</v>
      </c>
      <c r="W16" s="5">
        <v>4</v>
      </c>
      <c r="X16" s="8">
        <f t="shared" si="4"/>
        <v>0.6</v>
      </c>
      <c r="Y16" s="5">
        <v>361.42</v>
      </c>
      <c r="Z16" s="5">
        <f t="shared" si="5"/>
        <v>2.5499999999999998</v>
      </c>
      <c r="AA16" s="12">
        <v>12</v>
      </c>
      <c r="AB16" s="5">
        <f t="shared" ref="AB16:AB49" si="9">TRUNC(LOG(AA16),2)</f>
        <v>1.07</v>
      </c>
      <c r="AC16" s="9">
        <v>475.75</v>
      </c>
      <c r="AD16" s="5">
        <f t="shared" si="7"/>
        <v>2.67</v>
      </c>
    </row>
    <row r="17" spans="1:30" ht="12.75" x14ac:dyDescent="0.2">
      <c r="A17" s="5">
        <v>29</v>
      </c>
      <c r="B17" s="5">
        <v>5</v>
      </c>
      <c r="C17" s="5" t="s">
        <v>156</v>
      </c>
      <c r="D17" s="5" t="str">
        <f t="shared" si="8"/>
        <v>Kaffe.mp4</v>
      </c>
      <c r="E17" s="5" t="s">
        <v>157</v>
      </c>
      <c r="F17" s="5">
        <v>1500</v>
      </c>
      <c r="G17" s="6" t="s">
        <v>158</v>
      </c>
      <c r="H17" s="5" t="s">
        <v>33</v>
      </c>
      <c r="I17" s="5" t="s">
        <v>159</v>
      </c>
      <c r="J17" s="7" t="str">
        <f t="shared" si="1"/>
        <v>29.mp4</v>
      </c>
      <c r="K17" s="5">
        <v>1900</v>
      </c>
      <c r="L17" s="6" t="s">
        <v>160</v>
      </c>
      <c r="M17" s="5" t="s">
        <v>161</v>
      </c>
      <c r="N17" s="7" t="str">
        <f t="shared" si="2"/>
        <v>Coffee 1.jpg</v>
      </c>
      <c r="O17" s="5" t="s">
        <v>162</v>
      </c>
      <c r="P17" s="5" t="s">
        <v>38</v>
      </c>
      <c r="Q17" s="5" t="s">
        <v>163</v>
      </c>
      <c r="R17" s="5" t="str">
        <f t="shared" si="3"/>
        <v>Coffee 2.jpg</v>
      </c>
      <c r="S17" s="5" t="s">
        <v>40</v>
      </c>
      <c r="T17" s="5" t="s">
        <v>138</v>
      </c>
      <c r="U17" s="5" t="s">
        <v>42</v>
      </c>
      <c r="V17" s="5" t="s">
        <v>52</v>
      </c>
      <c r="W17" s="5">
        <v>5</v>
      </c>
      <c r="X17" s="8">
        <f t="shared" si="4"/>
        <v>0.69</v>
      </c>
      <c r="Y17" s="5">
        <v>39.72</v>
      </c>
      <c r="Z17" s="5">
        <f t="shared" si="5"/>
        <v>1.59</v>
      </c>
      <c r="AA17" s="5">
        <v>1</v>
      </c>
      <c r="AB17" s="5">
        <f t="shared" si="9"/>
        <v>0</v>
      </c>
      <c r="AC17" s="9">
        <v>49.54</v>
      </c>
      <c r="AD17" s="5">
        <f t="shared" si="7"/>
        <v>1.69</v>
      </c>
    </row>
    <row r="18" spans="1:30" ht="12.75" x14ac:dyDescent="0.2">
      <c r="A18" s="5">
        <v>30</v>
      </c>
      <c r="B18" s="5">
        <v>6</v>
      </c>
      <c r="C18" s="5" t="s">
        <v>164</v>
      </c>
      <c r="D18" s="5" t="str">
        <f t="shared" si="8"/>
        <v>Sigar.mp4</v>
      </c>
      <c r="E18" s="5" t="s">
        <v>165</v>
      </c>
      <c r="F18" s="5">
        <v>1400</v>
      </c>
      <c r="G18" s="6" t="s">
        <v>166</v>
      </c>
      <c r="H18" s="5" t="s">
        <v>33</v>
      </c>
      <c r="I18" s="5" t="s">
        <v>167</v>
      </c>
      <c r="J18" s="7" t="str">
        <f t="shared" si="1"/>
        <v>30.mp4</v>
      </c>
      <c r="K18" s="5">
        <v>1900</v>
      </c>
      <c r="L18" s="6" t="s">
        <v>168</v>
      </c>
      <c r="M18" s="5" t="s">
        <v>169</v>
      </c>
      <c r="N18" s="7" t="str">
        <f t="shared" si="2"/>
        <v>Cigar 1.jpg</v>
      </c>
      <c r="O18" s="5" t="s">
        <v>169</v>
      </c>
      <c r="P18" s="11" t="s">
        <v>38</v>
      </c>
      <c r="Q18" s="5" t="s">
        <v>170</v>
      </c>
      <c r="R18" s="5" t="str">
        <f t="shared" si="3"/>
        <v>Cigar 2.jpg</v>
      </c>
      <c r="S18" s="5" t="s">
        <v>40</v>
      </c>
      <c r="T18" s="5" t="s">
        <v>138</v>
      </c>
      <c r="U18" s="5" t="s">
        <v>42</v>
      </c>
      <c r="V18" s="5" t="s">
        <v>52</v>
      </c>
      <c r="W18" s="5">
        <v>2</v>
      </c>
      <c r="X18" s="8">
        <f t="shared" si="4"/>
        <v>0.3</v>
      </c>
      <c r="Y18" s="5">
        <v>4.67</v>
      </c>
      <c r="Z18" s="5">
        <f t="shared" si="5"/>
        <v>0.66</v>
      </c>
      <c r="AA18" s="12">
        <v>1</v>
      </c>
      <c r="AB18" s="5">
        <f t="shared" si="9"/>
        <v>0</v>
      </c>
      <c r="AC18" s="9">
        <v>35.119999999999997</v>
      </c>
      <c r="AD18" s="5">
        <f t="shared" si="7"/>
        <v>1.54</v>
      </c>
    </row>
    <row r="19" spans="1:30" ht="12.75" x14ac:dyDescent="0.2">
      <c r="A19" s="5">
        <v>33</v>
      </c>
      <c r="B19" s="5">
        <v>9</v>
      </c>
      <c r="C19" s="5" t="s">
        <v>171</v>
      </c>
      <c r="D19" s="5" t="str">
        <f t="shared" si="8"/>
        <v>Blomst.mp4</v>
      </c>
      <c r="E19" s="5" t="s">
        <v>172</v>
      </c>
      <c r="F19" s="5">
        <v>1400</v>
      </c>
      <c r="G19" s="6" t="s">
        <v>173</v>
      </c>
      <c r="H19" s="5" t="s">
        <v>33</v>
      </c>
      <c r="I19" s="5" t="s">
        <v>174</v>
      </c>
      <c r="J19" s="7" t="str">
        <f t="shared" si="1"/>
        <v>33.mp4</v>
      </c>
      <c r="K19" s="5">
        <v>2100</v>
      </c>
      <c r="L19" s="6" t="s">
        <v>175</v>
      </c>
      <c r="M19" s="5" t="s">
        <v>176</v>
      </c>
      <c r="N19" s="7" t="str">
        <f t="shared" si="2"/>
        <v>Flower 1.jpg</v>
      </c>
      <c r="O19" s="5" t="s">
        <v>176</v>
      </c>
      <c r="P19" s="5" t="s">
        <v>38</v>
      </c>
      <c r="Q19" s="5" t="s">
        <v>177</v>
      </c>
      <c r="R19" s="5" t="str">
        <f t="shared" si="3"/>
        <v>Flower 2.jpg</v>
      </c>
      <c r="S19" s="5" t="s">
        <v>40</v>
      </c>
      <c r="T19" s="5" t="s">
        <v>138</v>
      </c>
      <c r="U19" s="5" t="s">
        <v>42</v>
      </c>
      <c r="V19" s="5" t="s">
        <v>43</v>
      </c>
      <c r="W19" s="5">
        <v>1</v>
      </c>
      <c r="X19" s="8">
        <f t="shared" si="4"/>
        <v>0</v>
      </c>
      <c r="Y19" s="5">
        <v>23.2</v>
      </c>
      <c r="Z19" s="5">
        <f t="shared" si="5"/>
        <v>1.36</v>
      </c>
      <c r="AA19" s="5">
        <v>29</v>
      </c>
      <c r="AB19" s="5">
        <f t="shared" si="9"/>
        <v>1.46</v>
      </c>
      <c r="AC19" s="9">
        <v>85.53</v>
      </c>
      <c r="AD19" s="5">
        <f t="shared" si="7"/>
        <v>1.93</v>
      </c>
    </row>
    <row r="20" spans="1:30" ht="12.75" x14ac:dyDescent="0.2">
      <c r="A20" s="5">
        <v>35</v>
      </c>
      <c r="B20" s="5">
        <v>11</v>
      </c>
      <c r="C20" s="5" t="s">
        <v>178</v>
      </c>
      <c r="D20" s="5" t="str">
        <f t="shared" si="8"/>
        <v>Metall.mp4</v>
      </c>
      <c r="E20" s="5" t="s">
        <v>179</v>
      </c>
      <c r="F20" s="5">
        <v>1800</v>
      </c>
      <c r="G20" s="6" t="s">
        <v>180</v>
      </c>
      <c r="H20" s="5" t="s">
        <v>33</v>
      </c>
      <c r="I20" s="5" t="s">
        <v>181</v>
      </c>
      <c r="J20" s="7" t="str">
        <f t="shared" si="1"/>
        <v>35.mp4</v>
      </c>
      <c r="K20" s="5">
        <v>1800</v>
      </c>
      <c r="L20" s="6" t="s">
        <v>182</v>
      </c>
      <c r="M20" s="5" t="s">
        <v>183</v>
      </c>
      <c r="N20" s="7" t="str">
        <f t="shared" si="2"/>
        <v>Metal 1.jpg</v>
      </c>
      <c r="O20" s="5" t="s">
        <v>183</v>
      </c>
      <c r="P20" s="11" t="str">
        <f t="shared" ref="P20:P23" si="10">IF(O20=M20,"match", "nomatch")</f>
        <v>match</v>
      </c>
      <c r="Q20" s="5" t="s">
        <v>184</v>
      </c>
      <c r="R20" s="5" t="str">
        <f t="shared" si="3"/>
        <v>Metal 2.jpg</v>
      </c>
      <c r="S20" s="5" t="s">
        <v>40</v>
      </c>
      <c r="T20" s="5" t="s">
        <v>138</v>
      </c>
      <c r="U20" s="5" t="s">
        <v>42</v>
      </c>
      <c r="V20" s="5" t="s">
        <v>52</v>
      </c>
      <c r="W20" s="5">
        <v>4</v>
      </c>
      <c r="X20" s="8">
        <f t="shared" si="4"/>
        <v>0.6</v>
      </c>
      <c r="Y20" s="12">
        <v>1</v>
      </c>
      <c r="Z20" s="5">
        <f t="shared" si="5"/>
        <v>0</v>
      </c>
      <c r="AA20" s="12">
        <v>3</v>
      </c>
      <c r="AB20" s="5">
        <f t="shared" si="9"/>
        <v>0.47</v>
      </c>
      <c r="AC20" s="9">
        <v>44.03</v>
      </c>
      <c r="AD20" s="5">
        <f t="shared" si="7"/>
        <v>1.64</v>
      </c>
    </row>
    <row r="21" spans="1:30" ht="12.75" x14ac:dyDescent="0.2">
      <c r="A21" s="5">
        <v>36</v>
      </c>
      <c r="B21" s="5">
        <v>12</v>
      </c>
      <c r="C21" s="5" t="s">
        <v>185</v>
      </c>
      <c r="D21" s="5" t="str">
        <f t="shared" si="8"/>
        <v>Telefon.mp4</v>
      </c>
      <c r="E21" s="5" t="s">
        <v>186</v>
      </c>
      <c r="F21" s="5">
        <v>1700</v>
      </c>
      <c r="G21" s="6" t="s">
        <v>187</v>
      </c>
      <c r="H21" s="5" t="s">
        <v>33</v>
      </c>
      <c r="I21" s="5" t="s">
        <v>188</v>
      </c>
      <c r="J21" s="7" t="str">
        <f t="shared" si="1"/>
        <v>36.mp4</v>
      </c>
      <c r="K21" s="5">
        <v>1900</v>
      </c>
      <c r="L21" s="6" t="s">
        <v>189</v>
      </c>
      <c r="M21" s="5" t="s">
        <v>190</v>
      </c>
      <c r="N21" s="7" t="str">
        <f t="shared" si="2"/>
        <v>Telephone 1.jpg</v>
      </c>
      <c r="O21" s="5" t="s">
        <v>190</v>
      </c>
      <c r="P21" s="11" t="str">
        <f t="shared" si="10"/>
        <v>match</v>
      </c>
      <c r="Q21" s="5" t="s">
        <v>191</v>
      </c>
      <c r="R21" s="5" t="str">
        <f t="shared" si="3"/>
        <v>Telephone 2.jpg</v>
      </c>
      <c r="S21" s="5" t="s">
        <v>40</v>
      </c>
      <c r="T21" s="5" t="s">
        <v>138</v>
      </c>
      <c r="U21" s="5" t="s">
        <v>42</v>
      </c>
      <c r="V21" s="5" t="s">
        <v>52</v>
      </c>
      <c r="W21" s="5">
        <v>9</v>
      </c>
      <c r="X21" s="8">
        <f t="shared" si="4"/>
        <v>0.95</v>
      </c>
      <c r="Y21" s="5">
        <v>130.87</v>
      </c>
      <c r="Z21" s="5">
        <f t="shared" si="5"/>
        <v>2.11</v>
      </c>
      <c r="AA21" s="12">
        <v>17</v>
      </c>
      <c r="AB21" s="5">
        <f t="shared" si="9"/>
        <v>1.23</v>
      </c>
      <c r="AC21" s="9">
        <v>120.76</v>
      </c>
      <c r="AD21" s="5">
        <f t="shared" si="7"/>
        <v>2.08</v>
      </c>
    </row>
    <row r="22" spans="1:30" ht="12.75" x14ac:dyDescent="0.2">
      <c r="A22" s="5">
        <v>39</v>
      </c>
      <c r="B22" s="5">
        <v>3</v>
      </c>
      <c r="C22" s="5" t="s">
        <v>192</v>
      </c>
      <c r="D22" s="5" t="str">
        <f t="shared" si="8"/>
        <v>Hoppe.mp4</v>
      </c>
      <c r="E22" s="5" t="s">
        <v>193</v>
      </c>
      <c r="F22" s="5">
        <v>1600</v>
      </c>
      <c r="G22" s="6" t="s">
        <v>194</v>
      </c>
      <c r="H22" s="5" t="s">
        <v>33</v>
      </c>
      <c r="I22" s="5" t="s">
        <v>195</v>
      </c>
      <c r="J22" s="7" t="str">
        <f t="shared" si="1"/>
        <v>39.mp4</v>
      </c>
      <c r="K22" s="5">
        <v>1700</v>
      </c>
      <c r="L22" s="6" t="s">
        <v>196</v>
      </c>
      <c r="M22" s="5" t="s">
        <v>197</v>
      </c>
      <c r="N22" s="7" t="str">
        <f t="shared" si="2"/>
        <v>Jump 1.jpg</v>
      </c>
      <c r="O22" s="5" t="s">
        <v>197</v>
      </c>
      <c r="P22" s="11" t="str">
        <f t="shared" si="10"/>
        <v>match</v>
      </c>
      <c r="Q22" s="5" t="s">
        <v>198</v>
      </c>
      <c r="R22" s="5" t="str">
        <f t="shared" si="3"/>
        <v>Jump 2.jpg</v>
      </c>
      <c r="S22" s="5" t="s">
        <v>74</v>
      </c>
      <c r="T22" s="5" t="s">
        <v>199</v>
      </c>
      <c r="U22" s="5" t="s">
        <v>76</v>
      </c>
      <c r="V22" s="5" t="s">
        <v>52</v>
      </c>
      <c r="W22" s="5">
        <v>2</v>
      </c>
      <c r="X22" s="8">
        <f t="shared" si="4"/>
        <v>0.3</v>
      </c>
      <c r="Y22" s="5">
        <v>45.4</v>
      </c>
      <c r="Z22" s="5">
        <f t="shared" si="5"/>
        <v>1.65</v>
      </c>
      <c r="AA22" s="12">
        <v>8</v>
      </c>
      <c r="AB22" s="5">
        <f t="shared" si="9"/>
        <v>0.9</v>
      </c>
      <c r="AC22" s="9">
        <v>33.799999999999997</v>
      </c>
      <c r="AD22" s="5">
        <f t="shared" si="7"/>
        <v>1.52</v>
      </c>
    </row>
    <row r="23" spans="1:30" ht="12.75" x14ac:dyDescent="0.2">
      <c r="A23" s="5">
        <v>40</v>
      </c>
      <c r="B23" s="5">
        <v>4</v>
      </c>
      <c r="C23" s="5" t="s">
        <v>200</v>
      </c>
      <c r="D23" s="5" t="s">
        <v>201</v>
      </c>
      <c r="E23" s="5" t="s">
        <v>202</v>
      </c>
      <c r="F23" s="5">
        <v>2100</v>
      </c>
      <c r="G23" s="6" t="s">
        <v>203</v>
      </c>
      <c r="H23" s="5" t="s">
        <v>33</v>
      </c>
      <c r="I23" s="5" t="s">
        <v>204</v>
      </c>
      <c r="J23" s="7" t="str">
        <f t="shared" si="1"/>
        <v>40.mp4</v>
      </c>
      <c r="K23" s="5">
        <v>1600</v>
      </c>
      <c r="L23" s="6" t="s">
        <v>205</v>
      </c>
      <c r="M23" s="5" t="s">
        <v>206</v>
      </c>
      <c r="N23" s="7" t="str">
        <f t="shared" si="2"/>
        <v>Leave 1.jpg</v>
      </c>
      <c r="O23" s="5" t="s">
        <v>206</v>
      </c>
      <c r="P23" s="11" t="str">
        <f t="shared" si="10"/>
        <v>match</v>
      </c>
      <c r="Q23" s="5" t="s">
        <v>207</v>
      </c>
      <c r="R23" s="5" t="str">
        <f t="shared" si="3"/>
        <v>Leave 2.jpg</v>
      </c>
      <c r="S23" s="5" t="s">
        <v>74</v>
      </c>
      <c r="T23" s="5" t="s">
        <v>199</v>
      </c>
      <c r="U23" s="5" t="s">
        <v>115</v>
      </c>
      <c r="V23" s="5" t="s">
        <v>52</v>
      </c>
      <c r="W23" s="5">
        <f>2+1</f>
        <v>3</v>
      </c>
      <c r="X23" s="8">
        <f t="shared" si="4"/>
        <v>0.47</v>
      </c>
      <c r="Y23" s="5">
        <v>212.49</v>
      </c>
      <c r="Z23" s="5">
        <f t="shared" si="5"/>
        <v>2.3199999999999998</v>
      </c>
      <c r="AA23" s="11">
        <v>150</v>
      </c>
      <c r="AB23" s="5">
        <f t="shared" si="9"/>
        <v>2.17</v>
      </c>
      <c r="AC23" s="9">
        <v>318.89</v>
      </c>
      <c r="AD23" s="5">
        <f t="shared" si="7"/>
        <v>2.5</v>
      </c>
    </row>
    <row r="24" spans="1:30" ht="12.75" x14ac:dyDescent="0.2">
      <c r="A24" s="5">
        <v>41</v>
      </c>
      <c r="B24" s="5">
        <v>5</v>
      </c>
      <c r="C24" s="5" t="s">
        <v>208</v>
      </c>
      <c r="D24" s="5" t="str">
        <f t="shared" ref="D24:D28" si="11">CONCATENATE(PROPER(E24),".mp4")</f>
        <v>Miste.mp4</v>
      </c>
      <c r="E24" s="5" t="s">
        <v>209</v>
      </c>
      <c r="F24" s="5">
        <v>900</v>
      </c>
      <c r="G24" s="16" t="s">
        <v>210</v>
      </c>
      <c r="H24" s="5" t="s">
        <v>33</v>
      </c>
      <c r="I24" s="5" t="s">
        <v>211</v>
      </c>
      <c r="J24" s="7" t="str">
        <f t="shared" si="1"/>
        <v>41.mp4</v>
      </c>
      <c r="K24" s="5">
        <v>1500</v>
      </c>
      <c r="L24" s="16" t="s">
        <v>212</v>
      </c>
      <c r="M24" s="5" t="s">
        <v>213</v>
      </c>
      <c r="N24" s="7" t="str">
        <f t="shared" si="2"/>
        <v>Lose 1.jpg</v>
      </c>
      <c r="O24" s="5" t="s">
        <v>214</v>
      </c>
      <c r="P24" s="11" t="s">
        <v>38</v>
      </c>
      <c r="Q24" s="5" t="s">
        <v>215</v>
      </c>
      <c r="R24" s="5" t="str">
        <f t="shared" si="3"/>
        <v>Lose 2.jpg</v>
      </c>
      <c r="S24" s="5" t="s">
        <v>74</v>
      </c>
      <c r="T24" s="5" t="s">
        <v>199</v>
      </c>
      <c r="U24" s="5" t="s">
        <v>115</v>
      </c>
      <c r="V24" s="5" t="s">
        <v>43</v>
      </c>
      <c r="W24" s="5">
        <v>5</v>
      </c>
      <c r="X24" s="12">
        <f t="shared" si="4"/>
        <v>0.69</v>
      </c>
      <c r="Y24" s="5">
        <v>125.04</v>
      </c>
      <c r="Z24" s="5">
        <f t="shared" si="5"/>
        <v>2.09</v>
      </c>
      <c r="AA24" s="12">
        <v>3</v>
      </c>
      <c r="AB24" s="5">
        <f t="shared" si="9"/>
        <v>0.47</v>
      </c>
      <c r="AC24" s="9">
        <v>70.97</v>
      </c>
      <c r="AD24" s="5">
        <f t="shared" si="7"/>
        <v>1.85</v>
      </c>
    </row>
    <row r="25" spans="1:30" ht="12.75" x14ac:dyDescent="0.2">
      <c r="A25" s="5">
        <v>45</v>
      </c>
      <c r="B25" s="5">
        <v>9</v>
      </c>
      <c r="C25" s="5" t="s">
        <v>216</v>
      </c>
      <c r="D25" s="5" t="str">
        <f t="shared" si="11"/>
        <v>Ta.mp4</v>
      </c>
      <c r="E25" s="5" t="s">
        <v>217</v>
      </c>
      <c r="F25" s="5">
        <v>1400</v>
      </c>
      <c r="G25" s="6" t="s">
        <v>218</v>
      </c>
      <c r="H25" s="5" t="s">
        <v>33</v>
      </c>
      <c r="I25" s="5" t="s">
        <v>219</v>
      </c>
      <c r="J25" s="7" t="str">
        <f t="shared" si="1"/>
        <v>45.mp4</v>
      </c>
      <c r="K25" s="5">
        <v>1700</v>
      </c>
      <c r="L25" s="6" t="s">
        <v>220</v>
      </c>
      <c r="M25" s="5" t="s">
        <v>221</v>
      </c>
      <c r="N25" s="7" t="str">
        <f t="shared" si="2"/>
        <v>Take 1.jpg</v>
      </c>
      <c r="O25" s="5" t="s">
        <v>221</v>
      </c>
      <c r="P25" s="11" t="s">
        <v>38</v>
      </c>
      <c r="Q25" s="5" t="s">
        <v>222</v>
      </c>
      <c r="R25" s="5" t="str">
        <f t="shared" si="3"/>
        <v>Take 2.jpg</v>
      </c>
      <c r="S25" s="5" t="s">
        <v>74</v>
      </c>
      <c r="T25" s="5" t="s">
        <v>199</v>
      </c>
      <c r="U25" s="5" t="s">
        <v>115</v>
      </c>
      <c r="V25" s="5" t="s">
        <v>43</v>
      </c>
      <c r="W25" s="5">
        <f>50+4</f>
        <v>54</v>
      </c>
      <c r="X25" s="12">
        <f t="shared" si="4"/>
        <v>1.73</v>
      </c>
      <c r="Y25" s="5">
        <v>2028.09</v>
      </c>
      <c r="Z25" s="5">
        <f t="shared" si="5"/>
        <v>3.3</v>
      </c>
      <c r="AA25" s="12">
        <v>150</v>
      </c>
      <c r="AB25" s="5">
        <f t="shared" si="9"/>
        <v>2.17</v>
      </c>
      <c r="AC25" s="9">
        <v>605.11</v>
      </c>
      <c r="AD25" s="5">
        <f t="shared" si="7"/>
        <v>2.78</v>
      </c>
    </row>
    <row r="26" spans="1:30" ht="12.75" x14ac:dyDescent="0.2">
      <c r="A26" s="17">
        <v>6</v>
      </c>
      <c r="B26" s="17">
        <v>6</v>
      </c>
      <c r="C26" s="5" t="s">
        <v>223</v>
      </c>
      <c r="D26" s="5" t="str">
        <f t="shared" si="11"/>
        <v>Frosk.mp4</v>
      </c>
      <c r="E26" s="5" t="s">
        <v>224</v>
      </c>
      <c r="F26" s="5">
        <v>1400</v>
      </c>
      <c r="G26" s="6" t="s">
        <v>225</v>
      </c>
      <c r="H26" s="5" t="s">
        <v>33</v>
      </c>
      <c r="I26" s="5" t="s">
        <v>226</v>
      </c>
      <c r="J26" s="7" t="str">
        <f t="shared" si="1"/>
        <v>6.mp4</v>
      </c>
      <c r="K26" s="5">
        <v>1700</v>
      </c>
      <c r="L26" s="6" t="s">
        <v>227</v>
      </c>
      <c r="M26" s="5" t="s">
        <v>228</v>
      </c>
      <c r="N26" s="7" t="str">
        <f t="shared" si="2"/>
        <v>Frog 1.jpg</v>
      </c>
      <c r="O26" s="5" t="s">
        <v>229</v>
      </c>
      <c r="P26" s="5" t="s">
        <v>230</v>
      </c>
      <c r="Q26" s="5" t="s">
        <v>231</v>
      </c>
      <c r="R26" s="5" t="str">
        <f t="shared" si="3"/>
        <v>Frog 2.jpg</v>
      </c>
      <c r="S26" s="5" t="s">
        <v>40</v>
      </c>
      <c r="T26" s="5" t="s">
        <v>41</v>
      </c>
      <c r="U26" s="5" t="s">
        <v>42</v>
      </c>
      <c r="V26" s="5" t="s">
        <v>232</v>
      </c>
      <c r="W26" s="5">
        <v>18</v>
      </c>
      <c r="X26" s="8">
        <f t="shared" si="4"/>
        <v>1.25</v>
      </c>
      <c r="Y26" s="5">
        <v>3.94</v>
      </c>
      <c r="Z26" s="5">
        <f t="shared" si="5"/>
        <v>0.59</v>
      </c>
      <c r="AA26" s="5">
        <v>1</v>
      </c>
      <c r="AB26" s="5">
        <f t="shared" si="9"/>
        <v>0</v>
      </c>
      <c r="AC26" s="9">
        <v>13.15</v>
      </c>
      <c r="AD26" s="5">
        <f t="shared" si="7"/>
        <v>1.1100000000000001</v>
      </c>
    </row>
    <row r="27" spans="1:30" ht="12.75" x14ac:dyDescent="0.2">
      <c r="A27" s="5">
        <v>7</v>
      </c>
      <c r="B27" s="5">
        <v>7</v>
      </c>
      <c r="C27" s="5" t="s">
        <v>233</v>
      </c>
      <c r="D27" s="5" t="str">
        <f t="shared" si="11"/>
        <v>Gorilla.mp4</v>
      </c>
      <c r="E27" s="5" t="s">
        <v>233</v>
      </c>
      <c r="F27" s="5">
        <v>1300</v>
      </c>
      <c r="G27" s="6" t="s">
        <v>234</v>
      </c>
      <c r="H27" s="5" t="s">
        <v>33</v>
      </c>
      <c r="I27" s="5" t="s">
        <v>235</v>
      </c>
      <c r="J27" s="7" t="str">
        <f t="shared" si="1"/>
        <v>7.mp4</v>
      </c>
      <c r="K27" s="5">
        <v>2700</v>
      </c>
      <c r="L27" s="6" t="s">
        <v>236</v>
      </c>
      <c r="M27" s="5" t="s">
        <v>237</v>
      </c>
      <c r="N27" s="7" t="str">
        <f t="shared" si="2"/>
        <v>Gorilla 1.jpg</v>
      </c>
      <c r="O27" s="5" t="s">
        <v>238</v>
      </c>
      <c r="P27" s="11" t="str">
        <f>IF(O27=M27,"match", "nomatch")</f>
        <v>nomatch</v>
      </c>
      <c r="Q27" s="17" t="s">
        <v>231</v>
      </c>
      <c r="R27" s="5" t="str">
        <f t="shared" si="3"/>
        <v>Gorilla 2.jpg</v>
      </c>
      <c r="S27" s="5" t="s">
        <v>40</v>
      </c>
      <c r="T27" s="5" t="s">
        <v>41</v>
      </c>
      <c r="U27" s="5" t="s">
        <v>42</v>
      </c>
      <c r="V27" s="5" t="s">
        <v>232</v>
      </c>
      <c r="W27" s="5">
        <v>1</v>
      </c>
      <c r="X27" s="8">
        <f t="shared" si="4"/>
        <v>0</v>
      </c>
      <c r="Y27" s="12">
        <v>2.19</v>
      </c>
      <c r="Z27" s="5">
        <f t="shared" si="5"/>
        <v>0.34</v>
      </c>
      <c r="AA27" s="12">
        <v>1</v>
      </c>
      <c r="AB27" s="5">
        <f t="shared" si="9"/>
        <v>0</v>
      </c>
      <c r="AC27" s="9">
        <v>1.86</v>
      </c>
      <c r="AD27" s="5">
        <f t="shared" si="7"/>
        <v>0.26</v>
      </c>
    </row>
    <row r="28" spans="1:30" ht="12.75" x14ac:dyDescent="0.2">
      <c r="A28" s="17">
        <v>14</v>
      </c>
      <c r="B28" s="5">
        <v>2</v>
      </c>
      <c r="C28" s="5" t="s">
        <v>239</v>
      </c>
      <c r="D28" s="5" t="str">
        <f t="shared" si="11"/>
        <v>Komme.mp4</v>
      </c>
      <c r="E28" s="5" t="s">
        <v>240</v>
      </c>
      <c r="F28" s="5">
        <v>1600</v>
      </c>
      <c r="G28" s="6" t="s">
        <v>241</v>
      </c>
      <c r="H28" s="5" t="s">
        <v>33</v>
      </c>
      <c r="I28" s="5" t="s">
        <v>242</v>
      </c>
      <c r="J28" s="7" t="str">
        <f t="shared" si="1"/>
        <v>14.mp4</v>
      </c>
      <c r="K28" s="5">
        <v>1900</v>
      </c>
      <c r="L28" s="16" t="s">
        <v>243</v>
      </c>
      <c r="M28" s="5" t="s">
        <v>244</v>
      </c>
      <c r="N28" s="7" t="str">
        <f t="shared" si="2"/>
        <v>Come 1.jpg</v>
      </c>
      <c r="O28" s="5" t="s">
        <v>245</v>
      </c>
      <c r="P28" s="11" t="str">
        <f>IF(O29=M29,"match", "nomatch")</f>
        <v>nomatch</v>
      </c>
      <c r="Q28" s="17" t="s">
        <v>231</v>
      </c>
      <c r="R28" s="5" t="str">
        <f t="shared" si="3"/>
        <v>Come 2.jpg</v>
      </c>
      <c r="S28" s="5" t="s">
        <v>74</v>
      </c>
      <c r="T28" s="5" t="s">
        <v>75</v>
      </c>
      <c r="U28" s="5" t="s">
        <v>76</v>
      </c>
      <c r="V28" s="5" t="s">
        <v>232</v>
      </c>
      <c r="W28" s="5">
        <f>28+11</f>
        <v>39</v>
      </c>
      <c r="X28" s="8">
        <f t="shared" si="4"/>
        <v>1.59</v>
      </c>
      <c r="Y28" s="5">
        <v>1903.14</v>
      </c>
      <c r="Z28" s="5">
        <f t="shared" si="5"/>
        <v>3.27</v>
      </c>
      <c r="AA28" s="11">
        <v>150</v>
      </c>
      <c r="AB28" s="5">
        <f t="shared" si="9"/>
        <v>2.17</v>
      </c>
      <c r="AC28" s="9">
        <v>588.15</v>
      </c>
      <c r="AD28" s="5">
        <f t="shared" si="7"/>
        <v>2.76</v>
      </c>
    </row>
    <row r="29" spans="1:30" ht="12.75" x14ac:dyDescent="0.2">
      <c r="A29" s="17">
        <v>18</v>
      </c>
      <c r="B29" s="5">
        <v>6</v>
      </c>
      <c r="C29" s="5" t="s">
        <v>246</v>
      </c>
      <c r="D29" s="5" t="s">
        <v>247</v>
      </c>
      <c r="E29" s="17" t="s">
        <v>248</v>
      </c>
      <c r="F29" s="5">
        <v>1400</v>
      </c>
      <c r="G29" s="18" t="s">
        <v>249</v>
      </c>
      <c r="H29" s="17" t="s">
        <v>33</v>
      </c>
      <c r="I29" s="17" t="s">
        <v>250</v>
      </c>
      <c r="J29" s="7" t="str">
        <f t="shared" si="1"/>
        <v>18.mp4</v>
      </c>
      <c r="K29" s="17">
        <v>1700</v>
      </c>
      <c r="L29" s="18" t="s">
        <v>251</v>
      </c>
      <c r="M29" s="17" t="s">
        <v>252</v>
      </c>
      <c r="N29" s="7" t="str">
        <f t="shared" si="2"/>
        <v>Sail 1.jpg</v>
      </c>
      <c r="O29" s="17" t="s">
        <v>253</v>
      </c>
      <c r="P29" s="19" t="s">
        <v>230</v>
      </c>
      <c r="Q29" s="17" t="s">
        <v>231</v>
      </c>
      <c r="R29" s="5" t="str">
        <f t="shared" si="3"/>
        <v>Sail 2.jpg</v>
      </c>
      <c r="S29" s="17" t="s">
        <v>74</v>
      </c>
      <c r="T29" s="17" t="s">
        <v>75</v>
      </c>
      <c r="U29" s="17" t="s">
        <v>76</v>
      </c>
      <c r="V29" s="17" t="s">
        <v>232</v>
      </c>
      <c r="W29" s="17">
        <v>1</v>
      </c>
      <c r="X29" s="8">
        <f t="shared" si="4"/>
        <v>0</v>
      </c>
      <c r="Y29" s="5">
        <v>16.93</v>
      </c>
      <c r="Z29" s="5">
        <f t="shared" si="5"/>
        <v>1.22</v>
      </c>
      <c r="AA29" s="8">
        <v>1</v>
      </c>
      <c r="AB29" s="17">
        <f t="shared" si="9"/>
        <v>0</v>
      </c>
      <c r="AC29" s="9">
        <v>44.26</v>
      </c>
      <c r="AD29" s="5">
        <f t="shared" si="7"/>
        <v>1.64</v>
      </c>
    </row>
    <row r="30" spans="1:30" ht="12.75" x14ac:dyDescent="0.2">
      <c r="A30" s="5">
        <v>21</v>
      </c>
      <c r="B30" s="5">
        <v>9</v>
      </c>
      <c r="C30" s="5" t="s">
        <v>254</v>
      </c>
      <c r="D30" s="5" t="str">
        <f t="shared" ref="D30:D49" si="12">CONCATENATE(PROPER(E30),".mp4")</f>
        <v>Reise.mp4</v>
      </c>
      <c r="E30" s="5" t="s">
        <v>255</v>
      </c>
      <c r="F30" s="5">
        <v>1400</v>
      </c>
      <c r="G30" s="6" t="s">
        <v>256</v>
      </c>
      <c r="H30" s="5" t="s">
        <v>33</v>
      </c>
      <c r="I30" s="5" t="s">
        <v>257</v>
      </c>
      <c r="J30" s="7" t="str">
        <f t="shared" si="1"/>
        <v>21.mp4</v>
      </c>
      <c r="K30" s="5">
        <v>2000</v>
      </c>
      <c r="L30" s="6" t="s">
        <v>258</v>
      </c>
      <c r="M30" s="5" t="s">
        <v>259</v>
      </c>
      <c r="N30" s="7" t="str">
        <f t="shared" si="2"/>
        <v>Travel 1.jpg</v>
      </c>
      <c r="O30" s="5" t="s">
        <v>260</v>
      </c>
      <c r="P30" s="11" t="str">
        <f t="shared" ref="P30:P32" si="13">IF(O30=M30,"match", "nomatch")</f>
        <v>nomatch</v>
      </c>
      <c r="Q30" s="17" t="s">
        <v>231</v>
      </c>
      <c r="R30" s="5" t="str">
        <f t="shared" si="3"/>
        <v>Travel 2.jpg</v>
      </c>
      <c r="S30" s="5" t="s">
        <v>74</v>
      </c>
      <c r="T30" s="5" t="s">
        <v>75</v>
      </c>
      <c r="U30" s="5" t="s">
        <v>76</v>
      </c>
      <c r="V30" s="5" t="s">
        <v>232</v>
      </c>
      <c r="W30" s="5">
        <v>24</v>
      </c>
      <c r="X30" s="8">
        <f t="shared" si="4"/>
        <v>1.38</v>
      </c>
      <c r="Y30" s="12">
        <v>1</v>
      </c>
      <c r="Z30" s="5">
        <f t="shared" si="5"/>
        <v>0</v>
      </c>
      <c r="AA30" s="12">
        <v>7</v>
      </c>
      <c r="AB30" s="5">
        <f t="shared" si="9"/>
        <v>0.84</v>
      </c>
      <c r="AC30" s="9">
        <v>15</v>
      </c>
      <c r="AD30" s="5">
        <f t="shared" si="7"/>
        <v>1.17</v>
      </c>
    </row>
    <row r="31" spans="1:30" ht="12.75" x14ac:dyDescent="0.2">
      <c r="A31" s="5">
        <v>15</v>
      </c>
      <c r="B31" s="5">
        <v>3</v>
      </c>
      <c r="C31" s="5" t="s">
        <v>261</v>
      </c>
      <c r="D31" s="5" t="str">
        <f t="shared" si="12"/>
        <v>Skeptisk.mp4</v>
      </c>
      <c r="E31" s="5" t="s">
        <v>262</v>
      </c>
      <c r="F31" s="5">
        <v>1400</v>
      </c>
      <c r="G31" s="6" t="s">
        <v>263</v>
      </c>
      <c r="H31" s="5" t="s">
        <v>33</v>
      </c>
      <c r="I31" s="5" t="s">
        <v>264</v>
      </c>
      <c r="J31" s="7" t="str">
        <f t="shared" si="1"/>
        <v>15.mp4</v>
      </c>
      <c r="K31" s="5">
        <v>2100</v>
      </c>
      <c r="L31" s="6" t="s">
        <v>265</v>
      </c>
      <c r="M31" s="5" t="s">
        <v>266</v>
      </c>
      <c r="N31" s="7" t="str">
        <f t="shared" si="2"/>
        <v>Doubt 1.jpg</v>
      </c>
      <c r="O31" s="5" t="s">
        <v>267</v>
      </c>
      <c r="P31" s="11" t="str">
        <f t="shared" si="13"/>
        <v>nomatch</v>
      </c>
      <c r="Q31" s="17" t="s">
        <v>231</v>
      </c>
      <c r="R31" s="5" t="str">
        <f t="shared" si="3"/>
        <v>Doubt 2.jpg</v>
      </c>
      <c r="S31" s="5" t="s">
        <v>74</v>
      </c>
      <c r="T31" s="5" t="s">
        <v>75</v>
      </c>
      <c r="U31" s="5" t="s">
        <v>115</v>
      </c>
      <c r="V31" s="5" t="s">
        <v>232</v>
      </c>
      <c r="W31" s="5">
        <v>1</v>
      </c>
      <c r="X31" s="8">
        <f t="shared" si="4"/>
        <v>0</v>
      </c>
      <c r="Y31" s="5">
        <v>26.78</v>
      </c>
      <c r="Z31" s="5">
        <f t="shared" si="5"/>
        <v>1.42</v>
      </c>
      <c r="AA31" s="12">
        <v>2</v>
      </c>
      <c r="AB31" s="5">
        <f t="shared" si="9"/>
        <v>0.3</v>
      </c>
      <c r="AC31" s="9">
        <v>52.54</v>
      </c>
      <c r="AD31" s="5">
        <f t="shared" si="7"/>
        <v>1.72</v>
      </c>
    </row>
    <row r="32" spans="1:30" ht="12.75" x14ac:dyDescent="0.2">
      <c r="A32" s="17">
        <v>16</v>
      </c>
      <c r="B32" s="5">
        <v>4</v>
      </c>
      <c r="C32" s="5" t="s">
        <v>268</v>
      </c>
      <c r="D32" s="5" t="str">
        <f t="shared" si="12"/>
        <v>Spille.mp4</v>
      </c>
      <c r="E32" s="17" t="s">
        <v>269</v>
      </c>
      <c r="F32" s="5">
        <v>1500</v>
      </c>
      <c r="G32" s="18" t="s">
        <v>270</v>
      </c>
      <c r="H32" s="17" t="s">
        <v>33</v>
      </c>
      <c r="I32" s="17" t="s">
        <v>271</v>
      </c>
      <c r="J32" s="7" t="str">
        <f t="shared" si="1"/>
        <v>16.mp4</v>
      </c>
      <c r="K32" s="17">
        <v>1900</v>
      </c>
      <c r="L32" s="18" t="s">
        <v>272</v>
      </c>
      <c r="M32" s="17" t="s">
        <v>273</v>
      </c>
      <c r="N32" s="7" t="str">
        <f t="shared" si="2"/>
        <v>Play 1.jpg</v>
      </c>
      <c r="O32" s="17" t="s">
        <v>274</v>
      </c>
      <c r="P32" s="19" t="str">
        <f t="shared" si="13"/>
        <v>nomatch</v>
      </c>
      <c r="Q32" s="17" t="s">
        <v>231</v>
      </c>
      <c r="R32" s="5" t="str">
        <f t="shared" si="3"/>
        <v>Play 2.jpg</v>
      </c>
      <c r="S32" s="17" t="s">
        <v>74</v>
      </c>
      <c r="T32" s="17" t="s">
        <v>75</v>
      </c>
      <c r="U32" s="17" t="s">
        <v>115</v>
      </c>
      <c r="V32" s="17" t="s">
        <v>232</v>
      </c>
      <c r="W32" s="17">
        <f>2+1+12</f>
        <v>15</v>
      </c>
      <c r="X32" s="8">
        <f t="shared" si="4"/>
        <v>1.17</v>
      </c>
      <c r="Y32" s="5">
        <v>438.43</v>
      </c>
      <c r="Z32" s="5">
        <f t="shared" si="5"/>
        <v>2.64</v>
      </c>
      <c r="AA32" s="8">
        <v>72</v>
      </c>
      <c r="AB32" s="5">
        <f t="shared" si="9"/>
        <v>1.85</v>
      </c>
      <c r="AC32" s="9">
        <v>293.17</v>
      </c>
      <c r="AD32" s="5">
        <f t="shared" si="7"/>
        <v>2.46</v>
      </c>
    </row>
    <row r="33" spans="1:30" ht="12.75" x14ac:dyDescent="0.2">
      <c r="A33" s="5">
        <v>2</v>
      </c>
      <c r="B33" s="5">
        <v>2</v>
      </c>
      <c r="C33" s="5" t="s">
        <v>275</v>
      </c>
      <c r="D33" s="5" t="str">
        <f t="shared" si="12"/>
        <v>Forlovet.mp4</v>
      </c>
      <c r="E33" s="5" t="s">
        <v>276</v>
      </c>
      <c r="F33" s="5">
        <v>1600</v>
      </c>
      <c r="G33" s="16" t="s">
        <v>277</v>
      </c>
      <c r="H33" s="5" t="s">
        <v>33</v>
      </c>
      <c r="I33" s="5" t="s">
        <v>278</v>
      </c>
      <c r="J33" s="7" t="str">
        <f t="shared" si="1"/>
        <v>2.mp4</v>
      </c>
      <c r="K33" s="5">
        <v>2600</v>
      </c>
      <c r="L33" s="16" t="s">
        <v>279</v>
      </c>
      <c r="M33" s="5" t="s">
        <v>280</v>
      </c>
      <c r="N33" s="7" t="str">
        <f t="shared" si="2"/>
        <v>Engagement 1.jpg</v>
      </c>
      <c r="O33" s="5" t="s">
        <v>281</v>
      </c>
      <c r="P33" s="11" t="s">
        <v>230</v>
      </c>
      <c r="Q33" s="5" t="s">
        <v>231</v>
      </c>
      <c r="R33" s="5" t="str">
        <f t="shared" si="3"/>
        <v>Engagement 2.jpg</v>
      </c>
      <c r="S33" s="5" t="s">
        <v>40</v>
      </c>
      <c r="T33" s="5" t="s">
        <v>138</v>
      </c>
      <c r="U33" s="5" t="s">
        <v>139</v>
      </c>
      <c r="V33" s="5" t="s">
        <v>232</v>
      </c>
      <c r="W33" s="29">
        <v>1</v>
      </c>
      <c r="X33" s="8">
        <f t="shared" si="4"/>
        <v>0</v>
      </c>
      <c r="Y33" s="12">
        <v>1</v>
      </c>
      <c r="Z33" s="5">
        <f t="shared" si="5"/>
        <v>0</v>
      </c>
      <c r="AA33" s="12">
        <v>1</v>
      </c>
      <c r="AB33" s="5">
        <f t="shared" si="9"/>
        <v>0</v>
      </c>
      <c r="AC33" s="9">
        <v>1.83</v>
      </c>
      <c r="AD33" s="5">
        <f t="shared" si="7"/>
        <v>0.26</v>
      </c>
    </row>
    <row r="34" spans="1:30" ht="12.75" x14ac:dyDescent="0.2">
      <c r="A34" s="5">
        <v>3</v>
      </c>
      <c r="B34" s="5">
        <v>3</v>
      </c>
      <c r="C34" s="5" t="s">
        <v>282</v>
      </c>
      <c r="D34" s="5" t="str">
        <f t="shared" si="12"/>
        <v>Farge.mp4</v>
      </c>
      <c r="E34" s="5" t="s">
        <v>283</v>
      </c>
      <c r="F34" s="5">
        <v>1400</v>
      </c>
      <c r="G34" s="6" t="s">
        <v>284</v>
      </c>
      <c r="H34" s="5" t="s">
        <v>33</v>
      </c>
      <c r="I34" s="5" t="s">
        <v>285</v>
      </c>
      <c r="J34" s="7" t="str">
        <f t="shared" si="1"/>
        <v>3.mp4</v>
      </c>
      <c r="K34" s="5">
        <v>1800</v>
      </c>
      <c r="L34" s="6" t="s">
        <v>286</v>
      </c>
      <c r="M34" s="5" t="s">
        <v>287</v>
      </c>
      <c r="N34" s="7" t="str">
        <f t="shared" si="2"/>
        <v>Color 1.jpg</v>
      </c>
      <c r="O34" s="5" t="s">
        <v>288</v>
      </c>
      <c r="P34" s="11" t="str">
        <f>IF(O34=M34,"match", "nomatch")</f>
        <v>nomatch</v>
      </c>
      <c r="Q34" s="5" t="s">
        <v>231</v>
      </c>
      <c r="R34" s="5" t="str">
        <f t="shared" si="3"/>
        <v>Color 2.jpg</v>
      </c>
      <c r="S34" s="5" t="s">
        <v>40</v>
      </c>
      <c r="T34" s="5" t="s">
        <v>138</v>
      </c>
      <c r="U34" s="5" t="s">
        <v>139</v>
      </c>
      <c r="V34" s="5" t="s">
        <v>232</v>
      </c>
      <c r="W34" s="5">
        <v>7</v>
      </c>
      <c r="X34" s="12">
        <f t="shared" si="4"/>
        <v>0.84</v>
      </c>
      <c r="Y34" s="5">
        <v>92.5</v>
      </c>
      <c r="Z34" s="5">
        <f t="shared" si="5"/>
        <v>1.96</v>
      </c>
      <c r="AA34" s="12">
        <v>3</v>
      </c>
      <c r="AB34" s="5">
        <f t="shared" si="9"/>
        <v>0.47</v>
      </c>
      <c r="AC34" s="9">
        <v>134.74</v>
      </c>
      <c r="AD34" s="5">
        <f t="shared" si="7"/>
        <v>2.12</v>
      </c>
    </row>
    <row r="35" spans="1:30" ht="12.75" x14ac:dyDescent="0.2">
      <c r="A35" s="5">
        <v>5</v>
      </c>
      <c r="B35" s="5">
        <v>5</v>
      </c>
      <c r="C35" s="5" t="s">
        <v>289</v>
      </c>
      <c r="D35" s="5" t="str">
        <f t="shared" si="12"/>
        <v>Øst.mp4</v>
      </c>
      <c r="E35" s="5" t="s">
        <v>290</v>
      </c>
      <c r="F35" s="5">
        <v>1500</v>
      </c>
      <c r="G35" s="6" t="s">
        <v>291</v>
      </c>
      <c r="H35" s="5" t="s">
        <v>33</v>
      </c>
      <c r="I35" s="5" t="s">
        <v>292</v>
      </c>
      <c r="J35" s="7" t="str">
        <f t="shared" si="1"/>
        <v>5.mp4</v>
      </c>
      <c r="K35" s="13">
        <v>1900</v>
      </c>
      <c r="L35" s="6" t="s">
        <v>293</v>
      </c>
      <c r="M35" s="13" t="s">
        <v>294</v>
      </c>
      <c r="N35" s="7" t="str">
        <f t="shared" si="2"/>
        <v>East 1.jpg</v>
      </c>
      <c r="O35" s="5" t="s">
        <v>295</v>
      </c>
      <c r="P35" s="5" t="s">
        <v>230</v>
      </c>
      <c r="Q35" s="5" t="s">
        <v>231</v>
      </c>
      <c r="R35" s="5" t="str">
        <f t="shared" si="3"/>
        <v>East 2.jpg</v>
      </c>
      <c r="S35" s="13" t="s">
        <v>40</v>
      </c>
      <c r="T35" s="5" t="s">
        <v>138</v>
      </c>
      <c r="U35" s="5" t="s">
        <v>139</v>
      </c>
      <c r="V35" s="5" t="s">
        <v>232</v>
      </c>
      <c r="W35" s="5">
        <v>13</v>
      </c>
      <c r="X35" s="8">
        <f t="shared" si="4"/>
        <v>1.1100000000000001</v>
      </c>
      <c r="Y35" s="5">
        <v>1</v>
      </c>
      <c r="Z35" s="5">
        <f t="shared" si="5"/>
        <v>0</v>
      </c>
      <c r="AA35" s="5">
        <v>1</v>
      </c>
      <c r="AB35" s="5">
        <f t="shared" si="9"/>
        <v>0</v>
      </c>
      <c r="AC35" s="9">
        <v>90.27</v>
      </c>
      <c r="AD35" s="5">
        <f t="shared" si="7"/>
        <v>1.95</v>
      </c>
    </row>
    <row r="36" spans="1:30" ht="12.75" x14ac:dyDescent="0.2">
      <c r="A36" s="5">
        <v>11</v>
      </c>
      <c r="B36" s="5">
        <v>11</v>
      </c>
      <c r="C36" s="5" t="s">
        <v>296</v>
      </c>
      <c r="D36" s="5" t="str">
        <f t="shared" si="12"/>
        <v>Skole.mp4</v>
      </c>
      <c r="E36" s="5" t="s">
        <v>297</v>
      </c>
      <c r="F36" s="5">
        <v>1800</v>
      </c>
      <c r="G36" s="6" t="s">
        <v>298</v>
      </c>
      <c r="H36" s="5" t="s">
        <v>33</v>
      </c>
      <c r="I36" s="5" t="s">
        <v>299</v>
      </c>
      <c r="J36" s="7" t="str">
        <f t="shared" si="1"/>
        <v>11.mp4</v>
      </c>
      <c r="K36" s="5">
        <v>1600</v>
      </c>
      <c r="L36" s="6" t="s">
        <v>300</v>
      </c>
      <c r="M36" s="5" t="s">
        <v>301</v>
      </c>
      <c r="N36" s="7" t="str">
        <f t="shared" si="2"/>
        <v>School 1.jpg</v>
      </c>
      <c r="O36" s="5" t="s">
        <v>302</v>
      </c>
      <c r="P36" s="11" t="str">
        <f>IF(O36=M36,"match", "nomatch")</f>
        <v>nomatch</v>
      </c>
      <c r="Q36" s="17" t="s">
        <v>231</v>
      </c>
      <c r="R36" s="5" t="str">
        <f t="shared" si="3"/>
        <v>School 2.jpg</v>
      </c>
      <c r="S36" s="5" t="s">
        <v>40</v>
      </c>
      <c r="T36" s="5" t="s">
        <v>138</v>
      </c>
      <c r="U36" s="5" t="s">
        <v>139</v>
      </c>
      <c r="V36" s="5" t="s">
        <v>232</v>
      </c>
      <c r="W36" s="5">
        <v>84</v>
      </c>
      <c r="X36" s="8">
        <f t="shared" si="4"/>
        <v>1.92</v>
      </c>
      <c r="Y36" s="5">
        <v>228.71</v>
      </c>
      <c r="Z36" s="5">
        <f t="shared" si="5"/>
        <v>2.35</v>
      </c>
      <c r="AA36" s="12">
        <v>105</v>
      </c>
      <c r="AB36" s="5">
        <f t="shared" si="9"/>
        <v>2.02</v>
      </c>
      <c r="AC36" s="9">
        <v>280.12</v>
      </c>
      <c r="AD36" s="5">
        <f t="shared" si="7"/>
        <v>2.44</v>
      </c>
    </row>
    <row r="37" spans="1:30" ht="12.75" x14ac:dyDescent="0.2">
      <c r="A37" s="17">
        <v>12</v>
      </c>
      <c r="B37" s="17">
        <v>12</v>
      </c>
      <c r="C37" s="5" t="s">
        <v>303</v>
      </c>
      <c r="D37" s="5" t="str">
        <f t="shared" si="12"/>
        <v>Vondt.mp4</v>
      </c>
      <c r="E37" s="5" t="s">
        <v>304</v>
      </c>
      <c r="F37" s="5">
        <v>1400</v>
      </c>
      <c r="G37" s="6" t="s">
        <v>305</v>
      </c>
      <c r="H37" s="5" t="s">
        <v>33</v>
      </c>
      <c r="I37" s="5" t="s">
        <v>306</v>
      </c>
      <c r="J37" s="7" t="str">
        <f t="shared" si="1"/>
        <v>12.mp4</v>
      </c>
      <c r="K37" s="5">
        <v>1900</v>
      </c>
      <c r="L37" s="6" t="s">
        <v>307</v>
      </c>
      <c r="M37" s="5" t="s">
        <v>308</v>
      </c>
      <c r="N37" s="7" t="str">
        <f t="shared" si="2"/>
        <v>Pain 1.jpg</v>
      </c>
      <c r="O37" s="5" t="s">
        <v>309</v>
      </c>
      <c r="P37" s="5" t="s">
        <v>230</v>
      </c>
      <c r="Q37" s="5" t="s">
        <v>231</v>
      </c>
      <c r="R37" s="5" t="str">
        <f t="shared" si="3"/>
        <v>Pain 2.jpg</v>
      </c>
      <c r="S37" s="5" t="s">
        <v>40</v>
      </c>
      <c r="T37" s="5" t="s">
        <v>138</v>
      </c>
      <c r="U37" s="5" t="s">
        <v>139</v>
      </c>
      <c r="V37" s="5" t="s">
        <v>232</v>
      </c>
      <c r="W37" s="5">
        <v>2</v>
      </c>
      <c r="X37" s="8">
        <f t="shared" si="4"/>
        <v>0.3</v>
      </c>
      <c r="Y37" s="5">
        <v>184.89</v>
      </c>
      <c r="Z37" s="5">
        <f t="shared" si="5"/>
        <v>2.2599999999999998</v>
      </c>
      <c r="AA37" s="12">
        <v>15</v>
      </c>
      <c r="AB37" s="5">
        <f t="shared" si="9"/>
        <v>1.17</v>
      </c>
      <c r="AC37" s="9">
        <v>99.06</v>
      </c>
      <c r="AD37" s="5">
        <f t="shared" si="7"/>
        <v>1.99</v>
      </c>
    </row>
    <row r="38" spans="1:30" ht="12.75" x14ac:dyDescent="0.2">
      <c r="A38" s="5">
        <v>1</v>
      </c>
      <c r="B38" s="5">
        <v>1</v>
      </c>
      <c r="C38" s="5" t="s">
        <v>310</v>
      </c>
      <c r="D38" s="5" t="str">
        <f t="shared" si="12"/>
        <v>Kåle.mp4</v>
      </c>
      <c r="E38" s="5" t="s">
        <v>311</v>
      </c>
      <c r="F38" s="5">
        <v>1500</v>
      </c>
      <c r="G38" s="6" t="s">
        <v>312</v>
      </c>
      <c r="H38" s="5" t="s">
        <v>33</v>
      </c>
      <c r="I38" s="5" t="s">
        <v>313</v>
      </c>
      <c r="J38" s="7" t="str">
        <f t="shared" si="1"/>
        <v>1.mp4</v>
      </c>
      <c r="K38" s="5">
        <v>1200</v>
      </c>
      <c r="L38" s="6" t="s">
        <v>314</v>
      </c>
      <c r="M38" s="5" t="s">
        <v>315</v>
      </c>
      <c r="N38" s="7" t="str">
        <f t="shared" si="2"/>
        <v>Cabbage 1.jpg</v>
      </c>
      <c r="O38" s="5" t="s">
        <v>316</v>
      </c>
      <c r="P38" s="11" t="str">
        <f t="shared" ref="P38:P40" si="14">IF(O38=M38,"match", "nomatch")</f>
        <v>nomatch</v>
      </c>
      <c r="Q38" s="17" t="s">
        <v>231</v>
      </c>
      <c r="R38" s="5" t="str">
        <f t="shared" si="3"/>
        <v>Cabbage 2.jpg</v>
      </c>
      <c r="S38" s="5" t="s">
        <v>40</v>
      </c>
      <c r="T38" s="5" t="s">
        <v>138</v>
      </c>
      <c r="U38" s="5" t="s">
        <v>42</v>
      </c>
      <c r="V38" s="5" t="s">
        <v>232</v>
      </c>
      <c r="W38" s="5">
        <v>1</v>
      </c>
      <c r="X38" s="8">
        <f t="shared" si="4"/>
        <v>0</v>
      </c>
      <c r="Y38" s="5">
        <v>2.0699999999999998</v>
      </c>
      <c r="Z38" s="5">
        <f t="shared" si="5"/>
        <v>0.31</v>
      </c>
      <c r="AA38" s="12">
        <v>4</v>
      </c>
      <c r="AB38" s="5">
        <f t="shared" si="9"/>
        <v>0.6</v>
      </c>
      <c r="AC38" s="9">
        <v>20.239999999999998</v>
      </c>
      <c r="AD38" s="5">
        <f t="shared" si="7"/>
        <v>1.3</v>
      </c>
    </row>
    <row r="39" spans="1:30" ht="12.75" x14ac:dyDescent="0.2">
      <c r="A39" s="17">
        <v>4</v>
      </c>
      <c r="B39" s="17">
        <v>4</v>
      </c>
      <c r="C39" s="5" t="s">
        <v>317</v>
      </c>
      <c r="D39" s="5" t="str">
        <f t="shared" si="12"/>
        <v>Dukke.mp4</v>
      </c>
      <c r="E39" s="5" t="s">
        <v>318</v>
      </c>
      <c r="F39" s="5">
        <v>1400</v>
      </c>
      <c r="G39" s="6" t="s">
        <v>319</v>
      </c>
      <c r="H39" s="5" t="s">
        <v>33</v>
      </c>
      <c r="I39" s="5" t="s">
        <v>320</v>
      </c>
      <c r="J39" s="7" t="str">
        <f t="shared" si="1"/>
        <v>4.mp4</v>
      </c>
      <c r="K39" s="5">
        <v>2600</v>
      </c>
      <c r="L39" s="6" t="s">
        <v>321</v>
      </c>
      <c r="M39" s="5" t="s">
        <v>322</v>
      </c>
      <c r="N39" s="7" t="str">
        <f t="shared" si="2"/>
        <v>Doll 1.jpg</v>
      </c>
      <c r="O39" s="5" t="s">
        <v>323</v>
      </c>
      <c r="P39" s="11" t="str">
        <f t="shared" si="14"/>
        <v>nomatch</v>
      </c>
      <c r="Q39" s="17" t="s">
        <v>231</v>
      </c>
      <c r="R39" s="5" t="str">
        <f t="shared" si="3"/>
        <v>Doll 2.jpg</v>
      </c>
      <c r="S39" s="5" t="s">
        <v>40</v>
      </c>
      <c r="T39" s="5" t="s">
        <v>138</v>
      </c>
      <c r="U39" s="5" t="s">
        <v>42</v>
      </c>
      <c r="V39" s="5" t="s">
        <v>232</v>
      </c>
      <c r="W39" s="5">
        <v>1</v>
      </c>
      <c r="X39" s="8">
        <f t="shared" si="4"/>
        <v>0</v>
      </c>
      <c r="Y39" s="5">
        <v>9.32</v>
      </c>
      <c r="Z39" s="5">
        <f t="shared" si="5"/>
        <v>0.96</v>
      </c>
      <c r="AA39" s="12">
        <v>5</v>
      </c>
      <c r="AB39" s="5">
        <f t="shared" si="9"/>
        <v>0.69</v>
      </c>
      <c r="AC39" s="9">
        <v>21.7</v>
      </c>
      <c r="AD39" s="5">
        <f t="shared" si="7"/>
        <v>1.33</v>
      </c>
    </row>
    <row r="40" spans="1:30" ht="12.75" x14ac:dyDescent="0.2">
      <c r="A40" s="17">
        <v>8</v>
      </c>
      <c r="B40" s="17">
        <v>8</v>
      </c>
      <c r="C40" s="5" t="s">
        <v>324</v>
      </c>
      <c r="D40" s="5" t="str">
        <f t="shared" si="12"/>
        <v>Dagbladet.mp4</v>
      </c>
      <c r="E40" s="5" t="s">
        <v>325</v>
      </c>
      <c r="F40" s="5">
        <v>1600</v>
      </c>
      <c r="G40" s="6" t="s">
        <v>326</v>
      </c>
      <c r="H40" s="5" t="s">
        <v>33</v>
      </c>
      <c r="I40" s="5" t="s">
        <v>327</v>
      </c>
      <c r="J40" s="7" t="str">
        <f t="shared" si="1"/>
        <v>8.mp4</v>
      </c>
      <c r="K40" s="5">
        <v>2000</v>
      </c>
      <c r="L40" s="6" t="s">
        <v>328</v>
      </c>
      <c r="M40" s="5" t="s">
        <v>329</v>
      </c>
      <c r="N40" s="7" t="str">
        <f t="shared" si="2"/>
        <v>Magazine 1.jpg</v>
      </c>
      <c r="O40" s="5" t="s">
        <v>330</v>
      </c>
      <c r="P40" s="11" t="str">
        <f t="shared" si="14"/>
        <v>nomatch</v>
      </c>
      <c r="Q40" s="17" t="s">
        <v>231</v>
      </c>
      <c r="R40" s="5" t="str">
        <f t="shared" si="3"/>
        <v>Magazine 2.jpg</v>
      </c>
      <c r="S40" s="5" t="s">
        <v>40</v>
      </c>
      <c r="T40" s="5" t="s">
        <v>138</v>
      </c>
      <c r="U40" s="5" t="s">
        <v>42</v>
      </c>
      <c r="V40" s="5" t="s">
        <v>232</v>
      </c>
      <c r="W40" s="5">
        <v>1</v>
      </c>
      <c r="X40" s="8">
        <f t="shared" si="4"/>
        <v>0</v>
      </c>
      <c r="Y40" s="5">
        <v>108.85</v>
      </c>
      <c r="Z40" s="5">
        <f t="shared" si="5"/>
        <v>2.0299999999999998</v>
      </c>
      <c r="AA40" s="12">
        <v>11</v>
      </c>
      <c r="AB40" s="5">
        <f t="shared" si="9"/>
        <v>1.04</v>
      </c>
      <c r="AC40" s="9">
        <v>156.79</v>
      </c>
      <c r="AD40" s="5">
        <f t="shared" si="7"/>
        <v>2.19</v>
      </c>
    </row>
    <row r="41" spans="1:30" ht="12.75" x14ac:dyDescent="0.2">
      <c r="A41" s="5">
        <v>9</v>
      </c>
      <c r="B41" s="5">
        <v>9</v>
      </c>
      <c r="C41" s="5" t="s">
        <v>331</v>
      </c>
      <c r="D41" s="5" t="str">
        <f t="shared" si="12"/>
        <v>Sirkel.mp4</v>
      </c>
      <c r="E41" s="5" t="s">
        <v>332</v>
      </c>
      <c r="F41" s="5">
        <v>1800</v>
      </c>
      <c r="G41" s="6" t="s">
        <v>333</v>
      </c>
      <c r="H41" s="5" t="s">
        <v>33</v>
      </c>
      <c r="I41" s="5" t="s">
        <v>334</v>
      </c>
      <c r="J41" s="7" t="str">
        <f t="shared" si="1"/>
        <v>9.mp4</v>
      </c>
      <c r="K41" s="13">
        <v>1600</v>
      </c>
      <c r="L41" s="6" t="s">
        <v>335</v>
      </c>
      <c r="M41" s="13" t="s">
        <v>336</v>
      </c>
      <c r="N41" s="7" t="str">
        <f t="shared" si="2"/>
        <v>Ring 1.jpg</v>
      </c>
      <c r="O41" s="13" t="s">
        <v>337</v>
      </c>
      <c r="P41" s="11" t="s">
        <v>230</v>
      </c>
      <c r="Q41" s="17" t="s">
        <v>231</v>
      </c>
      <c r="R41" s="5" t="str">
        <f t="shared" si="3"/>
        <v>Ring 2.jpg</v>
      </c>
      <c r="S41" s="5" t="s">
        <v>40</v>
      </c>
      <c r="T41" s="5" t="s">
        <v>138</v>
      </c>
      <c r="U41" s="5" t="s">
        <v>42</v>
      </c>
      <c r="V41" s="5" t="s">
        <v>232</v>
      </c>
      <c r="W41" s="5">
        <v>7</v>
      </c>
      <c r="X41" s="8">
        <f t="shared" si="4"/>
        <v>0.84</v>
      </c>
      <c r="Y41" s="5">
        <v>24.07</v>
      </c>
      <c r="Z41" s="5">
        <f t="shared" si="5"/>
        <v>1.38</v>
      </c>
      <c r="AA41" s="12">
        <v>10</v>
      </c>
      <c r="AB41" s="5">
        <f t="shared" si="9"/>
        <v>1</v>
      </c>
      <c r="AC41" s="9">
        <v>146.86000000000001</v>
      </c>
      <c r="AD41" s="5">
        <f t="shared" si="7"/>
        <v>2.16</v>
      </c>
    </row>
    <row r="42" spans="1:30" ht="12.75" x14ac:dyDescent="0.2">
      <c r="A42" s="17">
        <v>10</v>
      </c>
      <c r="B42" s="17">
        <v>10</v>
      </c>
      <c r="C42" s="5" t="s">
        <v>338</v>
      </c>
      <c r="D42" s="5" t="str">
        <f t="shared" si="12"/>
        <v>Salt.mp4</v>
      </c>
      <c r="E42" s="17" t="s">
        <v>338</v>
      </c>
      <c r="F42" s="5">
        <v>1400</v>
      </c>
      <c r="G42" s="18" t="s">
        <v>339</v>
      </c>
      <c r="H42" s="17" t="s">
        <v>33</v>
      </c>
      <c r="I42" s="17" t="s">
        <v>340</v>
      </c>
      <c r="J42" s="7" t="str">
        <f t="shared" si="1"/>
        <v>10.mp4</v>
      </c>
      <c r="K42" s="17">
        <v>1600</v>
      </c>
      <c r="L42" s="20" t="s">
        <v>341</v>
      </c>
      <c r="M42" s="21" t="s">
        <v>342</v>
      </c>
      <c r="N42" s="7" t="str">
        <f t="shared" si="2"/>
        <v>Salt 1.jpg</v>
      </c>
      <c r="O42" s="17" t="s">
        <v>343</v>
      </c>
      <c r="P42" s="19" t="s">
        <v>230</v>
      </c>
      <c r="Q42" s="17" t="s">
        <v>231</v>
      </c>
      <c r="R42" s="5" t="str">
        <f t="shared" si="3"/>
        <v>Salt 2.jpg</v>
      </c>
      <c r="S42" s="17" t="s">
        <v>40</v>
      </c>
      <c r="T42" s="5" t="s">
        <v>138</v>
      </c>
      <c r="U42" s="5" t="s">
        <v>42</v>
      </c>
      <c r="V42" s="17" t="s">
        <v>232</v>
      </c>
      <c r="W42" s="17">
        <v>2</v>
      </c>
      <c r="X42" s="8">
        <f t="shared" si="4"/>
        <v>0.3</v>
      </c>
      <c r="Y42" s="5">
        <v>24.69</v>
      </c>
      <c r="Z42" s="5">
        <f t="shared" si="5"/>
        <v>1.39</v>
      </c>
      <c r="AA42" s="8">
        <v>1</v>
      </c>
      <c r="AB42" s="5">
        <f t="shared" si="9"/>
        <v>0</v>
      </c>
      <c r="AC42" s="9">
        <v>48.96</v>
      </c>
      <c r="AD42" s="5">
        <f t="shared" si="7"/>
        <v>1.68</v>
      </c>
    </row>
    <row r="43" spans="1:30" ht="12.75" x14ac:dyDescent="0.2">
      <c r="A43" s="17">
        <v>20</v>
      </c>
      <c r="B43" s="5">
        <v>8</v>
      </c>
      <c r="C43" s="5" t="s">
        <v>344</v>
      </c>
      <c r="D43" s="5" t="str">
        <f t="shared" si="12"/>
        <v>Nyse.mp4</v>
      </c>
      <c r="E43" s="17" t="s">
        <v>345</v>
      </c>
      <c r="F43" s="5">
        <v>1800</v>
      </c>
      <c r="G43" s="18" t="s">
        <v>346</v>
      </c>
      <c r="H43" s="17" t="s">
        <v>33</v>
      </c>
      <c r="I43" s="17" t="s">
        <v>347</v>
      </c>
      <c r="J43" s="7" t="str">
        <f t="shared" si="1"/>
        <v>20.mp4</v>
      </c>
      <c r="K43" s="17">
        <v>2100</v>
      </c>
      <c r="L43" s="18" t="s">
        <v>348</v>
      </c>
      <c r="M43" s="17" t="s">
        <v>349</v>
      </c>
      <c r="N43" s="7" t="str">
        <f t="shared" si="2"/>
        <v>Sneeze 1.jpg</v>
      </c>
      <c r="O43" s="17" t="s">
        <v>350</v>
      </c>
      <c r="P43" s="19" t="str">
        <f t="shared" ref="P43:P48" si="15">IF(O43=M43,"match", "nomatch")</f>
        <v>nomatch</v>
      </c>
      <c r="Q43" s="17" t="s">
        <v>231</v>
      </c>
      <c r="R43" s="5" t="str">
        <f t="shared" si="3"/>
        <v>Sneeze 2.jpg</v>
      </c>
      <c r="S43" s="17" t="s">
        <v>74</v>
      </c>
      <c r="T43" s="17" t="s">
        <v>199</v>
      </c>
      <c r="U43" s="17" t="s">
        <v>76</v>
      </c>
      <c r="V43" s="17" t="s">
        <v>232</v>
      </c>
      <c r="W43" s="17">
        <v>1</v>
      </c>
      <c r="X43" s="8">
        <f t="shared" si="4"/>
        <v>0</v>
      </c>
      <c r="Y43" s="5">
        <v>2.35</v>
      </c>
      <c r="Z43" s="5">
        <f t="shared" si="5"/>
        <v>0.37</v>
      </c>
      <c r="AA43" s="8">
        <v>1</v>
      </c>
      <c r="AB43" s="17">
        <f t="shared" si="9"/>
        <v>0</v>
      </c>
      <c r="AC43" s="9">
        <v>3.16</v>
      </c>
      <c r="AD43" s="5">
        <f t="shared" si="7"/>
        <v>0.49</v>
      </c>
    </row>
    <row r="44" spans="1:30" ht="12.75" x14ac:dyDescent="0.2">
      <c r="A44" s="17">
        <v>22</v>
      </c>
      <c r="B44" s="17">
        <v>10</v>
      </c>
      <c r="C44" s="5" t="s">
        <v>351</v>
      </c>
      <c r="D44" s="5" t="str">
        <f t="shared" si="12"/>
        <v>Prøve.mp4</v>
      </c>
      <c r="E44" s="17" t="s">
        <v>352</v>
      </c>
      <c r="F44" s="5">
        <v>1600</v>
      </c>
      <c r="G44" s="18" t="s">
        <v>353</v>
      </c>
      <c r="H44" s="17" t="s">
        <v>33</v>
      </c>
      <c r="I44" s="17" t="s">
        <v>354</v>
      </c>
      <c r="J44" s="7" t="str">
        <f t="shared" si="1"/>
        <v>22.mp4</v>
      </c>
      <c r="K44" s="13">
        <v>2000</v>
      </c>
      <c r="L44" s="18" t="s">
        <v>355</v>
      </c>
      <c r="M44" s="13" t="s">
        <v>356</v>
      </c>
      <c r="N44" s="7" t="str">
        <f t="shared" si="2"/>
        <v>Try 1.jpg</v>
      </c>
      <c r="O44" s="17" t="s">
        <v>357</v>
      </c>
      <c r="P44" s="19" t="str">
        <f t="shared" si="15"/>
        <v>nomatch</v>
      </c>
      <c r="Q44" s="17" t="s">
        <v>231</v>
      </c>
      <c r="R44" s="5" t="str">
        <f t="shared" si="3"/>
        <v>Try 2.jpg</v>
      </c>
      <c r="S44" s="17" t="s">
        <v>74</v>
      </c>
      <c r="T44" s="17" t="s">
        <v>199</v>
      </c>
      <c r="U44" s="17" t="s">
        <v>76</v>
      </c>
      <c r="V44" s="17" t="s">
        <v>232</v>
      </c>
      <c r="W44" s="17">
        <v>12</v>
      </c>
      <c r="X44" s="8">
        <f t="shared" si="4"/>
        <v>1.07</v>
      </c>
      <c r="Y44" s="5">
        <v>319</v>
      </c>
      <c r="Z44" s="5">
        <f t="shared" si="5"/>
        <v>2.5</v>
      </c>
      <c r="AA44" s="8">
        <v>55</v>
      </c>
      <c r="AB44" s="5">
        <f t="shared" si="9"/>
        <v>1.74</v>
      </c>
      <c r="AC44" s="9">
        <v>35.01</v>
      </c>
      <c r="AD44" s="5">
        <f t="shared" si="7"/>
        <v>1.54</v>
      </c>
    </row>
    <row r="45" spans="1:30" ht="12.75" x14ac:dyDescent="0.2">
      <c r="A45" s="5">
        <v>23</v>
      </c>
      <c r="B45" s="5">
        <v>11</v>
      </c>
      <c r="C45" s="5" t="s">
        <v>358</v>
      </c>
      <c r="D45" s="5" t="str">
        <f t="shared" si="12"/>
        <v>Vente.mp4</v>
      </c>
      <c r="E45" s="5" t="s">
        <v>359</v>
      </c>
      <c r="F45" s="5">
        <v>1700</v>
      </c>
      <c r="G45" s="6" t="s">
        <v>360</v>
      </c>
      <c r="H45" s="5" t="s">
        <v>33</v>
      </c>
      <c r="I45" s="5" t="s">
        <v>361</v>
      </c>
      <c r="J45" s="7" t="str">
        <f t="shared" si="1"/>
        <v>23.mp4</v>
      </c>
      <c r="K45" s="5">
        <v>1600</v>
      </c>
      <c r="L45" s="6" t="s">
        <v>362</v>
      </c>
      <c r="M45" s="5" t="s">
        <v>363</v>
      </c>
      <c r="N45" s="7" t="str">
        <f t="shared" si="2"/>
        <v>Wait 1.jpg</v>
      </c>
      <c r="O45" s="5" t="s">
        <v>364</v>
      </c>
      <c r="P45" s="11" t="str">
        <f t="shared" si="15"/>
        <v>nomatch</v>
      </c>
      <c r="Q45" s="17" t="s">
        <v>231</v>
      </c>
      <c r="R45" s="5" t="str">
        <f t="shared" si="3"/>
        <v>Wait 2.jpg</v>
      </c>
      <c r="S45" s="5" t="s">
        <v>74</v>
      </c>
      <c r="T45" s="5" t="s">
        <v>199</v>
      </c>
      <c r="U45" s="5" t="s">
        <v>76</v>
      </c>
      <c r="V45" s="5" t="s">
        <v>232</v>
      </c>
      <c r="W45" s="5">
        <v>23</v>
      </c>
      <c r="X45" s="8">
        <f t="shared" si="4"/>
        <v>1.36</v>
      </c>
      <c r="Y45" s="5">
        <v>184.93</v>
      </c>
      <c r="Z45" s="5">
        <f t="shared" si="5"/>
        <v>2.2599999999999998</v>
      </c>
      <c r="AA45" s="12">
        <v>100</v>
      </c>
      <c r="AB45" s="5">
        <f t="shared" si="9"/>
        <v>2</v>
      </c>
      <c r="AC45" s="9">
        <v>328.54</v>
      </c>
      <c r="AD45" s="5">
        <f t="shared" si="7"/>
        <v>2.5099999999999998</v>
      </c>
    </row>
    <row r="46" spans="1:30" ht="12.75" x14ac:dyDescent="0.2">
      <c r="A46" s="5">
        <v>13</v>
      </c>
      <c r="B46" s="5">
        <v>1</v>
      </c>
      <c r="C46" s="5" t="s">
        <v>365</v>
      </c>
      <c r="D46" s="5" t="str">
        <f t="shared" si="12"/>
        <v>Rope.mp4</v>
      </c>
      <c r="E46" s="5" t="s">
        <v>366</v>
      </c>
      <c r="F46" s="5">
        <v>1400</v>
      </c>
      <c r="G46" s="6" t="s">
        <v>367</v>
      </c>
      <c r="H46" s="5" t="s">
        <v>33</v>
      </c>
      <c r="I46" s="5" t="s">
        <v>368</v>
      </c>
      <c r="J46" s="7" t="str">
        <f t="shared" si="1"/>
        <v>13.mp4</v>
      </c>
      <c r="K46" s="5">
        <v>1400</v>
      </c>
      <c r="L46" s="6" t="s">
        <v>369</v>
      </c>
      <c r="M46" s="5" t="s">
        <v>370</v>
      </c>
      <c r="N46" s="7" t="str">
        <f t="shared" si="2"/>
        <v>Call 1.jpg</v>
      </c>
      <c r="O46" s="5" t="s">
        <v>371</v>
      </c>
      <c r="P46" s="11" t="str">
        <f t="shared" si="15"/>
        <v>nomatch</v>
      </c>
      <c r="Q46" s="17" t="s">
        <v>231</v>
      </c>
      <c r="R46" s="5" t="str">
        <f t="shared" si="3"/>
        <v>Call 2.jpg</v>
      </c>
      <c r="S46" s="5" t="s">
        <v>74</v>
      </c>
      <c r="T46" s="5" t="s">
        <v>199</v>
      </c>
      <c r="U46" s="5" t="s">
        <v>115</v>
      </c>
      <c r="V46" s="5" t="s">
        <v>232</v>
      </c>
      <c r="W46" s="5">
        <v>23</v>
      </c>
      <c r="X46" s="8">
        <f t="shared" si="4"/>
        <v>1.36</v>
      </c>
      <c r="Y46" s="5">
        <v>31.15</v>
      </c>
      <c r="Z46" s="5">
        <f t="shared" si="5"/>
        <v>1.49</v>
      </c>
      <c r="AA46" s="12">
        <v>44</v>
      </c>
      <c r="AB46" s="5">
        <f t="shared" si="9"/>
        <v>1.64</v>
      </c>
      <c r="AC46" s="9">
        <v>141.19</v>
      </c>
      <c r="AD46" s="5">
        <f t="shared" si="7"/>
        <v>2.14</v>
      </c>
    </row>
    <row r="47" spans="1:30" ht="12.75" x14ac:dyDescent="0.2">
      <c r="A47" s="5">
        <v>17</v>
      </c>
      <c r="B47" s="5">
        <v>5</v>
      </c>
      <c r="C47" s="13" t="s">
        <v>372</v>
      </c>
      <c r="D47" s="5" t="str">
        <f t="shared" si="12"/>
        <v>Velge.mp4</v>
      </c>
      <c r="E47" s="13" t="s">
        <v>373</v>
      </c>
      <c r="F47" s="5">
        <v>1400</v>
      </c>
      <c r="G47" s="6" t="s">
        <v>374</v>
      </c>
      <c r="H47" s="5" t="s">
        <v>33</v>
      </c>
      <c r="I47" s="5" t="s">
        <v>375</v>
      </c>
      <c r="J47" s="7" t="str">
        <f t="shared" si="1"/>
        <v>17.mp4</v>
      </c>
      <c r="K47" s="13">
        <v>1800</v>
      </c>
      <c r="L47" s="6" t="s">
        <v>376</v>
      </c>
      <c r="M47" s="13" t="s">
        <v>377</v>
      </c>
      <c r="N47" s="7" t="str">
        <f t="shared" si="2"/>
        <v>Choose 1.jpg</v>
      </c>
      <c r="O47" s="13" t="s">
        <v>378</v>
      </c>
      <c r="P47" s="13" t="str">
        <f t="shared" si="15"/>
        <v>nomatch</v>
      </c>
      <c r="Q47" s="13" t="s">
        <v>231</v>
      </c>
      <c r="R47" s="5" t="str">
        <f t="shared" si="3"/>
        <v>Choose 2.jpg</v>
      </c>
      <c r="S47" s="13" t="s">
        <v>74</v>
      </c>
      <c r="T47" s="13" t="s">
        <v>199</v>
      </c>
      <c r="U47" s="13" t="s">
        <v>115</v>
      </c>
      <c r="V47" s="17" t="s">
        <v>232</v>
      </c>
      <c r="W47" s="28">
        <v>1</v>
      </c>
      <c r="X47" s="8">
        <f t="shared" si="4"/>
        <v>0</v>
      </c>
      <c r="Y47" s="5">
        <v>376.11</v>
      </c>
      <c r="Z47" s="5">
        <f t="shared" si="5"/>
        <v>2.57</v>
      </c>
      <c r="AA47" s="9">
        <v>10</v>
      </c>
      <c r="AB47" s="9">
        <f t="shared" si="9"/>
        <v>1</v>
      </c>
      <c r="AC47" s="9">
        <v>53.14</v>
      </c>
      <c r="AD47" s="5">
        <f t="shared" si="7"/>
        <v>1.72</v>
      </c>
    </row>
    <row r="48" spans="1:30" ht="12.75" x14ac:dyDescent="0.2">
      <c r="A48" s="5">
        <v>19</v>
      </c>
      <c r="B48" s="5">
        <v>7</v>
      </c>
      <c r="C48" s="5" t="s">
        <v>379</v>
      </c>
      <c r="D48" s="5" t="str">
        <f t="shared" si="12"/>
        <v>Vise.mp4</v>
      </c>
      <c r="E48" s="5" t="s">
        <v>380</v>
      </c>
      <c r="F48" s="5">
        <v>1400</v>
      </c>
      <c r="G48" s="6" t="s">
        <v>381</v>
      </c>
      <c r="H48" s="5" t="s">
        <v>33</v>
      </c>
      <c r="I48" s="5" t="s">
        <v>382</v>
      </c>
      <c r="J48" s="7" t="str">
        <f t="shared" si="1"/>
        <v>19.mp4</v>
      </c>
      <c r="K48" s="5">
        <v>1800</v>
      </c>
      <c r="L48" s="6" t="s">
        <v>383</v>
      </c>
      <c r="M48" s="5" t="s">
        <v>384</v>
      </c>
      <c r="N48" s="7" t="str">
        <f t="shared" si="2"/>
        <v>Show 1.jpg</v>
      </c>
      <c r="O48" s="5" t="s">
        <v>385</v>
      </c>
      <c r="P48" s="11" t="str">
        <f t="shared" si="15"/>
        <v>nomatch</v>
      </c>
      <c r="Q48" s="17" t="s">
        <v>231</v>
      </c>
      <c r="R48" s="5" t="str">
        <f t="shared" si="3"/>
        <v>Show 2.jpg</v>
      </c>
      <c r="S48" s="5" t="s">
        <v>74</v>
      </c>
      <c r="T48" s="5" t="s">
        <v>199</v>
      </c>
      <c r="U48" s="5" t="s">
        <v>115</v>
      </c>
      <c r="V48" s="5" t="s">
        <v>232</v>
      </c>
      <c r="W48" s="5">
        <f>2+24</f>
        <v>26</v>
      </c>
      <c r="X48" s="8">
        <f t="shared" si="4"/>
        <v>1.41</v>
      </c>
      <c r="Y48" s="5">
        <v>672.76</v>
      </c>
      <c r="Z48" s="5">
        <f t="shared" si="5"/>
        <v>2.82</v>
      </c>
      <c r="AA48" s="12">
        <v>11</v>
      </c>
      <c r="AB48" s="5">
        <f t="shared" si="9"/>
        <v>1.04</v>
      </c>
      <c r="AC48" s="9">
        <v>254.14</v>
      </c>
      <c r="AD48" s="5">
        <f t="shared" si="7"/>
        <v>2.4</v>
      </c>
    </row>
    <row r="49" spans="1:30" ht="12.75" x14ac:dyDescent="0.2">
      <c r="A49" s="5">
        <v>24</v>
      </c>
      <c r="B49" s="5">
        <v>12</v>
      </c>
      <c r="C49" s="5" t="s">
        <v>386</v>
      </c>
      <c r="D49" s="5" t="str">
        <f t="shared" si="12"/>
        <v>Vinne.mp4</v>
      </c>
      <c r="E49" s="5" t="s">
        <v>387</v>
      </c>
      <c r="F49" s="5">
        <v>1700</v>
      </c>
      <c r="G49" s="6" t="s">
        <v>388</v>
      </c>
      <c r="H49" s="5" t="s">
        <v>33</v>
      </c>
      <c r="I49" s="5" t="s">
        <v>389</v>
      </c>
      <c r="J49" s="7" t="str">
        <f t="shared" si="1"/>
        <v>24.mp4</v>
      </c>
      <c r="K49" s="5">
        <v>1500</v>
      </c>
      <c r="L49" s="6" t="s">
        <v>390</v>
      </c>
      <c r="M49" s="5" t="s">
        <v>391</v>
      </c>
      <c r="N49" s="7" t="str">
        <f t="shared" si="2"/>
        <v>Win 1.jpg</v>
      </c>
      <c r="O49" s="5" t="s">
        <v>392</v>
      </c>
      <c r="P49" s="11" t="s">
        <v>230</v>
      </c>
      <c r="Q49" s="5" t="s">
        <v>231</v>
      </c>
      <c r="R49" s="5" t="str">
        <f t="shared" si="3"/>
        <v>Win 2.jpg</v>
      </c>
      <c r="S49" s="5" t="s">
        <v>74</v>
      </c>
      <c r="T49" s="5" t="s">
        <v>199</v>
      </c>
      <c r="U49" s="5" t="s">
        <v>115</v>
      </c>
      <c r="V49" s="5" t="s">
        <v>232</v>
      </c>
      <c r="W49" s="29">
        <v>1</v>
      </c>
      <c r="X49" s="8">
        <f t="shared" si="4"/>
        <v>0</v>
      </c>
      <c r="Y49" s="5">
        <v>216.83</v>
      </c>
      <c r="Z49" s="5">
        <f t="shared" si="5"/>
        <v>2.33</v>
      </c>
      <c r="AA49" s="12">
        <v>7</v>
      </c>
      <c r="AB49" s="5">
        <f t="shared" si="9"/>
        <v>0.84</v>
      </c>
      <c r="AC49" s="9">
        <v>49.45</v>
      </c>
      <c r="AD49" s="5">
        <f t="shared" si="7"/>
        <v>1.69</v>
      </c>
    </row>
    <row r="50" spans="1:30" ht="12.75" x14ac:dyDescent="0.2">
      <c r="J50" s="22"/>
      <c r="N50" s="22"/>
      <c r="X50" s="17"/>
    </row>
    <row r="51" spans="1:30" ht="12.75" x14ac:dyDescent="0.2">
      <c r="J51" s="22"/>
      <c r="N51" s="22"/>
      <c r="X51" s="17"/>
    </row>
    <row r="52" spans="1:30" ht="15.75" customHeight="1" x14ac:dyDescent="0.4">
      <c r="J52" s="22"/>
      <c r="K52" s="23"/>
      <c r="M52" s="23"/>
      <c r="N52" s="7"/>
      <c r="P52" s="9"/>
      <c r="S52" s="9"/>
      <c r="U52" s="13"/>
      <c r="X52" s="17"/>
    </row>
    <row r="53" spans="1:30" ht="15.75" customHeight="1" x14ac:dyDescent="0.4">
      <c r="J53" s="22"/>
      <c r="K53" s="23"/>
      <c r="M53" s="23"/>
      <c r="N53" s="7"/>
      <c r="P53" s="24"/>
      <c r="S53" s="9"/>
      <c r="U53" s="13"/>
      <c r="X53" s="17"/>
    </row>
    <row r="54" spans="1:30" ht="12.75" x14ac:dyDescent="0.2">
      <c r="J54" s="22"/>
      <c r="N54" s="22"/>
      <c r="X54" s="17"/>
    </row>
    <row r="55" spans="1:30" ht="12.75" x14ac:dyDescent="0.2">
      <c r="J55" s="22"/>
      <c r="N55" s="22"/>
      <c r="X55" s="17"/>
    </row>
    <row r="56" spans="1:30" ht="12.75" x14ac:dyDescent="0.2">
      <c r="J56" s="22"/>
      <c r="N56" s="22"/>
      <c r="X56" s="17"/>
    </row>
    <row r="57" spans="1:30" ht="12.75" x14ac:dyDescent="0.2">
      <c r="J57" s="22"/>
      <c r="N57" s="22"/>
      <c r="X57" s="17"/>
    </row>
    <row r="58" spans="1:30" ht="12.75" x14ac:dyDescent="0.2">
      <c r="J58" s="22"/>
      <c r="N58" s="22"/>
      <c r="X58" s="17"/>
    </row>
    <row r="59" spans="1:30" ht="12.75" x14ac:dyDescent="0.2">
      <c r="J59" s="22"/>
      <c r="N59" s="22"/>
      <c r="X59" s="17"/>
    </row>
    <row r="60" spans="1:30" ht="12.75" x14ac:dyDescent="0.2">
      <c r="J60" s="22"/>
      <c r="N60" s="22"/>
      <c r="X60" s="17"/>
    </row>
    <row r="61" spans="1:30" ht="12.75" x14ac:dyDescent="0.2">
      <c r="J61" s="22"/>
      <c r="N61" s="22"/>
      <c r="X61" s="17"/>
    </row>
    <row r="62" spans="1:30" ht="12.75" x14ac:dyDescent="0.2">
      <c r="J62" s="22"/>
      <c r="N62" s="22"/>
      <c r="X62" s="17"/>
    </row>
    <row r="63" spans="1:30" ht="12.75" x14ac:dyDescent="0.2">
      <c r="J63" s="22"/>
      <c r="N63" s="22"/>
      <c r="X63" s="17"/>
    </row>
    <row r="64" spans="1:30" ht="12.75" x14ac:dyDescent="0.2">
      <c r="J64" s="22"/>
      <c r="N64" s="22"/>
      <c r="X64" s="17"/>
    </row>
    <row r="65" spans="10:24" ht="12.75" x14ac:dyDescent="0.2">
      <c r="J65" s="22"/>
      <c r="N65" s="22"/>
      <c r="X65" s="17"/>
    </row>
    <row r="66" spans="10:24" ht="12.75" x14ac:dyDescent="0.2">
      <c r="J66" s="22"/>
      <c r="N66" s="22"/>
      <c r="X66" s="17"/>
    </row>
    <row r="67" spans="10:24" ht="12.75" x14ac:dyDescent="0.2">
      <c r="J67" s="22"/>
      <c r="N67" s="22"/>
      <c r="X67" s="17"/>
    </row>
    <row r="68" spans="10:24" ht="12.75" x14ac:dyDescent="0.2">
      <c r="J68" s="22"/>
      <c r="N68" s="22"/>
      <c r="X68" s="17"/>
    </row>
    <row r="69" spans="10:24" ht="12.75" x14ac:dyDescent="0.2">
      <c r="J69" s="22"/>
      <c r="N69" s="22"/>
      <c r="X69" s="17"/>
    </row>
    <row r="70" spans="10:24" ht="12.75" x14ac:dyDescent="0.2">
      <c r="J70" s="22"/>
      <c r="N70" s="22"/>
      <c r="X70" s="17"/>
    </row>
    <row r="71" spans="10:24" ht="12.75" x14ac:dyDescent="0.2">
      <c r="J71" s="22"/>
      <c r="N71" s="22"/>
      <c r="X71" s="17"/>
    </row>
    <row r="72" spans="10:24" ht="12.75" x14ac:dyDescent="0.2">
      <c r="J72" s="22"/>
      <c r="N72" s="22"/>
      <c r="X72" s="17"/>
    </row>
    <row r="73" spans="10:24" ht="12.75" x14ac:dyDescent="0.2">
      <c r="J73" s="22"/>
      <c r="N73" s="22"/>
      <c r="X73" s="17"/>
    </row>
    <row r="74" spans="10:24" ht="12.75" x14ac:dyDescent="0.2">
      <c r="J74" s="22"/>
      <c r="N74" s="22"/>
      <c r="X74" s="17"/>
    </row>
    <row r="75" spans="10:24" ht="12.75" x14ac:dyDescent="0.2">
      <c r="J75" s="22"/>
      <c r="N75" s="22"/>
      <c r="X75" s="17"/>
    </row>
    <row r="76" spans="10:24" ht="12.75" x14ac:dyDescent="0.2">
      <c r="J76" s="22"/>
      <c r="N76" s="22"/>
      <c r="X76" s="17"/>
    </row>
    <row r="77" spans="10:24" ht="12.75" x14ac:dyDescent="0.2">
      <c r="J77" s="22"/>
      <c r="N77" s="22"/>
      <c r="X77" s="17"/>
    </row>
    <row r="78" spans="10:24" ht="12.75" x14ac:dyDescent="0.2">
      <c r="J78" s="22"/>
      <c r="N78" s="22"/>
      <c r="X78" s="17"/>
    </row>
    <row r="79" spans="10:24" ht="12.75" x14ac:dyDescent="0.2">
      <c r="J79" s="22"/>
      <c r="N79" s="22"/>
      <c r="X79" s="17"/>
    </row>
    <row r="80" spans="10:24" ht="12.75" x14ac:dyDescent="0.2">
      <c r="J80" s="22"/>
      <c r="N80" s="22"/>
      <c r="X80" s="17"/>
    </row>
    <row r="81" spans="10:24" ht="12.75" x14ac:dyDescent="0.2">
      <c r="J81" s="22"/>
      <c r="N81" s="22"/>
      <c r="X81" s="17"/>
    </row>
    <row r="82" spans="10:24" ht="12.75" x14ac:dyDescent="0.2">
      <c r="J82" s="22"/>
      <c r="N82" s="22"/>
      <c r="X82" s="17"/>
    </row>
    <row r="83" spans="10:24" ht="12.75" x14ac:dyDescent="0.2">
      <c r="J83" s="22"/>
      <c r="N83" s="22"/>
      <c r="X83" s="17"/>
    </row>
    <row r="84" spans="10:24" ht="12.75" x14ac:dyDescent="0.2">
      <c r="J84" s="22"/>
      <c r="N84" s="22"/>
      <c r="X84" s="17"/>
    </row>
    <row r="85" spans="10:24" ht="12.75" x14ac:dyDescent="0.2">
      <c r="J85" s="22"/>
      <c r="N85" s="22"/>
      <c r="X85" s="17"/>
    </row>
    <row r="86" spans="10:24" ht="12.75" x14ac:dyDescent="0.2">
      <c r="J86" s="22"/>
      <c r="N86" s="22"/>
      <c r="X86" s="17"/>
    </row>
    <row r="87" spans="10:24" ht="12.75" x14ac:dyDescent="0.2">
      <c r="J87" s="22"/>
      <c r="N87" s="22"/>
      <c r="X87" s="17"/>
    </row>
    <row r="88" spans="10:24" ht="12.75" x14ac:dyDescent="0.2">
      <c r="J88" s="22"/>
      <c r="N88" s="22"/>
      <c r="X88" s="17"/>
    </row>
    <row r="89" spans="10:24" ht="12.75" x14ac:dyDescent="0.2">
      <c r="J89" s="22"/>
      <c r="N89" s="22"/>
      <c r="X89" s="17"/>
    </row>
    <row r="90" spans="10:24" ht="12.75" x14ac:dyDescent="0.2">
      <c r="J90" s="22"/>
      <c r="N90" s="22"/>
      <c r="X90" s="17"/>
    </row>
    <row r="91" spans="10:24" ht="12.75" x14ac:dyDescent="0.2">
      <c r="J91" s="22"/>
      <c r="N91" s="22"/>
      <c r="X91" s="17"/>
    </row>
    <row r="92" spans="10:24" ht="12.75" x14ac:dyDescent="0.2">
      <c r="J92" s="22"/>
      <c r="N92" s="22"/>
      <c r="X92" s="17"/>
    </row>
    <row r="93" spans="10:24" ht="12.75" x14ac:dyDescent="0.2">
      <c r="J93" s="22"/>
      <c r="N93" s="22"/>
      <c r="X93" s="17"/>
    </row>
    <row r="94" spans="10:24" ht="12.75" x14ac:dyDescent="0.2">
      <c r="J94" s="22"/>
      <c r="N94" s="22"/>
      <c r="X94" s="17"/>
    </row>
    <row r="95" spans="10:24" ht="12.75" x14ac:dyDescent="0.2">
      <c r="J95" s="22"/>
      <c r="N95" s="22"/>
      <c r="X95" s="17"/>
    </row>
    <row r="96" spans="10:24" ht="12.75" x14ac:dyDescent="0.2">
      <c r="J96" s="22"/>
      <c r="N96" s="22"/>
      <c r="X96" s="17"/>
    </row>
    <row r="97" spans="10:24" ht="12.75" x14ac:dyDescent="0.2">
      <c r="J97" s="22"/>
      <c r="N97" s="22"/>
      <c r="X97" s="17"/>
    </row>
    <row r="98" spans="10:24" ht="12.75" x14ac:dyDescent="0.2">
      <c r="J98" s="22"/>
      <c r="N98" s="22"/>
      <c r="X98" s="17"/>
    </row>
    <row r="99" spans="10:24" ht="12.75" x14ac:dyDescent="0.2">
      <c r="J99" s="22"/>
      <c r="N99" s="22"/>
      <c r="X99" s="17"/>
    </row>
    <row r="100" spans="10:24" ht="12.75" x14ac:dyDescent="0.2">
      <c r="J100" s="22"/>
      <c r="N100" s="22"/>
      <c r="X100" s="17"/>
    </row>
    <row r="101" spans="10:24" ht="12.75" x14ac:dyDescent="0.2">
      <c r="J101" s="22"/>
      <c r="N101" s="22"/>
      <c r="X101" s="17"/>
    </row>
    <row r="102" spans="10:24" ht="12.75" x14ac:dyDescent="0.2">
      <c r="J102" s="22"/>
      <c r="N102" s="22"/>
      <c r="X102" s="17"/>
    </row>
    <row r="103" spans="10:24" ht="12.75" x14ac:dyDescent="0.2">
      <c r="J103" s="22"/>
      <c r="N103" s="22"/>
      <c r="X103" s="17"/>
    </row>
    <row r="104" spans="10:24" ht="12.75" x14ac:dyDescent="0.2">
      <c r="J104" s="22"/>
      <c r="N104" s="22"/>
      <c r="X104" s="17"/>
    </row>
    <row r="105" spans="10:24" ht="12.75" x14ac:dyDescent="0.2">
      <c r="J105" s="22"/>
      <c r="N105" s="22"/>
      <c r="X105" s="17"/>
    </row>
    <row r="106" spans="10:24" ht="12.75" x14ac:dyDescent="0.2">
      <c r="J106" s="22"/>
      <c r="N106" s="22"/>
      <c r="X106" s="17"/>
    </row>
    <row r="107" spans="10:24" ht="12.75" x14ac:dyDescent="0.2">
      <c r="J107" s="22"/>
      <c r="N107" s="22"/>
      <c r="X107" s="17"/>
    </row>
    <row r="108" spans="10:24" ht="12.75" x14ac:dyDescent="0.2">
      <c r="J108" s="22"/>
      <c r="N108" s="22"/>
      <c r="X108" s="17"/>
    </row>
    <row r="109" spans="10:24" ht="12.75" x14ac:dyDescent="0.2">
      <c r="J109" s="22"/>
      <c r="N109" s="22"/>
      <c r="X109" s="17"/>
    </row>
    <row r="110" spans="10:24" ht="12.75" x14ac:dyDescent="0.2">
      <c r="J110" s="22"/>
      <c r="N110" s="22"/>
      <c r="X110" s="17"/>
    </row>
    <row r="111" spans="10:24" ht="12.75" x14ac:dyDescent="0.2">
      <c r="J111" s="22"/>
      <c r="N111" s="22"/>
      <c r="X111" s="17"/>
    </row>
    <row r="112" spans="10:24" ht="12.75" x14ac:dyDescent="0.2">
      <c r="J112" s="22"/>
      <c r="N112" s="22"/>
      <c r="X112" s="17"/>
    </row>
    <row r="113" spans="10:24" ht="12.75" x14ac:dyDescent="0.2">
      <c r="J113" s="22"/>
      <c r="N113" s="22"/>
      <c r="X113" s="17"/>
    </row>
    <row r="114" spans="10:24" ht="12.75" x14ac:dyDescent="0.2">
      <c r="J114" s="22"/>
      <c r="N114" s="22"/>
      <c r="X114" s="17"/>
    </row>
    <row r="115" spans="10:24" ht="12.75" x14ac:dyDescent="0.2">
      <c r="J115" s="22"/>
      <c r="N115" s="22"/>
      <c r="X115" s="17"/>
    </row>
    <row r="116" spans="10:24" ht="12.75" x14ac:dyDescent="0.2">
      <c r="J116" s="22"/>
      <c r="N116" s="22"/>
      <c r="X116" s="17"/>
    </row>
    <row r="117" spans="10:24" ht="12.75" x14ac:dyDescent="0.2">
      <c r="J117" s="22"/>
      <c r="N117" s="22"/>
      <c r="X117" s="17"/>
    </row>
    <row r="118" spans="10:24" ht="12.75" x14ac:dyDescent="0.2">
      <c r="J118" s="22"/>
      <c r="N118" s="22"/>
      <c r="X118" s="17"/>
    </row>
    <row r="119" spans="10:24" ht="12.75" x14ac:dyDescent="0.2">
      <c r="J119" s="22"/>
      <c r="N119" s="22"/>
      <c r="X119" s="17"/>
    </row>
    <row r="120" spans="10:24" ht="12.75" x14ac:dyDescent="0.2">
      <c r="J120" s="22"/>
      <c r="N120" s="22"/>
      <c r="X120" s="17"/>
    </row>
    <row r="121" spans="10:24" ht="12.75" x14ac:dyDescent="0.2">
      <c r="J121" s="22"/>
      <c r="N121" s="22"/>
      <c r="X121" s="17"/>
    </row>
    <row r="122" spans="10:24" ht="12.75" x14ac:dyDescent="0.2">
      <c r="J122" s="22"/>
      <c r="N122" s="22"/>
      <c r="X122" s="17"/>
    </row>
    <row r="123" spans="10:24" ht="12.75" x14ac:dyDescent="0.2">
      <c r="J123" s="22"/>
      <c r="N123" s="22"/>
      <c r="X123" s="17"/>
    </row>
    <row r="124" spans="10:24" ht="12.75" x14ac:dyDescent="0.2">
      <c r="J124" s="22"/>
      <c r="N124" s="22"/>
      <c r="X124" s="17"/>
    </row>
    <row r="125" spans="10:24" ht="12.75" x14ac:dyDescent="0.2">
      <c r="J125" s="22"/>
      <c r="N125" s="22"/>
      <c r="X125" s="17"/>
    </row>
    <row r="126" spans="10:24" ht="12.75" x14ac:dyDescent="0.2">
      <c r="J126" s="22"/>
      <c r="N126" s="22"/>
      <c r="X126" s="17"/>
    </row>
    <row r="127" spans="10:24" ht="12.75" x14ac:dyDescent="0.2">
      <c r="J127" s="22"/>
      <c r="N127" s="22"/>
      <c r="X127" s="17"/>
    </row>
    <row r="128" spans="10:24" ht="12.75" x14ac:dyDescent="0.2">
      <c r="J128" s="22"/>
      <c r="N128" s="22"/>
      <c r="X128" s="17"/>
    </row>
    <row r="129" spans="10:24" ht="12.75" x14ac:dyDescent="0.2">
      <c r="J129" s="22"/>
      <c r="N129" s="22"/>
      <c r="X129" s="17"/>
    </row>
    <row r="130" spans="10:24" ht="12.75" x14ac:dyDescent="0.2">
      <c r="J130" s="22"/>
      <c r="N130" s="22"/>
      <c r="X130" s="17"/>
    </row>
    <row r="131" spans="10:24" ht="12.75" x14ac:dyDescent="0.2">
      <c r="J131" s="22"/>
      <c r="N131" s="22"/>
      <c r="X131" s="17"/>
    </row>
    <row r="132" spans="10:24" ht="12.75" x14ac:dyDescent="0.2">
      <c r="J132" s="22"/>
      <c r="N132" s="22"/>
      <c r="X132" s="17"/>
    </row>
    <row r="133" spans="10:24" ht="12.75" x14ac:dyDescent="0.2">
      <c r="J133" s="22"/>
      <c r="N133" s="22"/>
      <c r="X133" s="17"/>
    </row>
    <row r="134" spans="10:24" ht="12.75" x14ac:dyDescent="0.2">
      <c r="J134" s="22"/>
      <c r="N134" s="22"/>
      <c r="X134" s="17"/>
    </row>
    <row r="135" spans="10:24" ht="12.75" x14ac:dyDescent="0.2">
      <c r="J135" s="22"/>
      <c r="N135" s="22"/>
      <c r="X135" s="17"/>
    </row>
    <row r="136" spans="10:24" ht="12.75" x14ac:dyDescent="0.2">
      <c r="J136" s="22"/>
      <c r="N136" s="22"/>
      <c r="X136" s="17"/>
    </row>
    <row r="137" spans="10:24" ht="12.75" x14ac:dyDescent="0.2">
      <c r="J137" s="22"/>
      <c r="N137" s="22"/>
      <c r="X137" s="17"/>
    </row>
    <row r="138" spans="10:24" ht="12.75" x14ac:dyDescent="0.2">
      <c r="J138" s="22"/>
      <c r="N138" s="22"/>
      <c r="X138" s="17"/>
    </row>
    <row r="139" spans="10:24" ht="12.75" x14ac:dyDescent="0.2">
      <c r="J139" s="22"/>
      <c r="N139" s="22"/>
      <c r="X139" s="17"/>
    </row>
    <row r="140" spans="10:24" ht="12.75" x14ac:dyDescent="0.2">
      <c r="J140" s="22"/>
      <c r="N140" s="22"/>
      <c r="X140" s="17"/>
    </row>
    <row r="141" spans="10:24" ht="12.75" x14ac:dyDescent="0.2">
      <c r="J141" s="22"/>
      <c r="N141" s="22"/>
      <c r="X141" s="17"/>
    </row>
    <row r="142" spans="10:24" ht="12.75" x14ac:dyDescent="0.2">
      <c r="J142" s="22"/>
      <c r="N142" s="22"/>
      <c r="X142" s="17"/>
    </row>
    <row r="143" spans="10:24" ht="12.75" x14ac:dyDescent="0.2">
      <c r="J143" s="22"/>
      <c r="N143" s="22"/>
      <c r="X143" s="17"/>
    </row>
    <row r="144" spans="10:24" ht="12.75" x14ac:dyDescent="0.2">
      <c r="J144" s="22"/>
      <c r="N144" s="22"/>
      <c r="X144" s="17"/>
    </row>
    <row r="145" spans="10:24" ht="12.75" x14ac:dyDescent="0.2">
      <c r="J145" s="22"/>
      <c r="N145" s="22"/>
      <c r="X145" s="17"/>
    </row>
    <row r="146" spans="10:24" ht="12.75" x14ac:dyDescent="0.2">
      <c r="J146" s="22"/>
      <c r="N146" s="22"/>
      <c r="X146" s="17"/>
    </row>
    <row r="147" spans="10:24" ht="12.75" x14ac:dyDescent="0.2">
      <c r="J147" s="22"/>
      <c r="N147" s="22"/>
      <c r="X147" s="17"/>
    </row>
    <row r="148" spans="10:24" ht="12.75" x14ac:dyDescent="0.2">
      <c r="J148" s="22"/>
      <c r="N148" s="22"/>
      <c r="X148" s="17"/>
    </row>
    <row r="149" spans="10:24" ht="12.75" x14ac:dyDescent="0.2">
      <c r="J149" s="22"/>
      <c r="N149" s="22"/>
      <c r="X149" s="17"/>
    </row>
    <row r="150" spans="10:24" ht="12.75" x14ac:dyDescent="0.2">
      <c r="J150" s="22"/>
      <c r="N150" s="22"/>
      <c r="X150" s="17"/>
    </row>
    <row r="151" spans="10:24" ht="12.75" x14ac:dyDescent="0.2">
      <c r="J151" s="22"/>
      <c r="N151" s="22"/>
      <c r="X151" s="17"/>
    </row>
    <row r="152" spans="10:24" ht="12.75" x14ac:dyDescent="0.2">
      <c r="J152" s="22"/>
      <c r="N152" s="22"/>
      <c r="X152" s="17"/>
    </row>
    <row r="153" spans="10:24" ht="12.75" x14ac:dyDescent="0.2">
      <c r="J153" s="22"/>
      <c r="N153" s="22"/>
      <c r="X153" s="17"/>
    </row>
    <row r="154" spans="10:24" ht="12.75" x14ac:dyDescent="0.2">
      <c r="J154" s="22"/>
      <c r="N154" s="22"/>
      <c r="X154" s="17"/>
    </row>
    <row r="155" spans="10:24" ht="12.75" x14ac:dyDescent="0.2">
      <c r="J155" s="22"/>
      <c r="N155" s="22"/>
      <c r="X155" s="17"/>
    </row>
    <row r="156" spans="10:24" ht="12.75" x14ac:dyDescent="0.2">
      <c r="J156" s="22"/>
      <c r="N156" s="22"/>
      <c r="X156" s="17"/>
    </row>
    <row r="157" spans="10:24" ht="12.75" x14ac:dyDescent="0.2">
      <c r="J157" s="22"/>
      <c r="N157" s="22"/>
      <c r="X157" s="17"/>
    </row>
    <row r="158" spans="10:24" ht="12.75" x14ac:dyDescent="0.2">
      <c r="J158" s="22"/>
      <c r="N158" s="22"/>
      <c r="X158" s="17"/>
    </row>
    <row r="159" spans="10:24" ht="12.75" x14ac:dyDescent="0.2">
      <c r="J159" s="22"/>
      <c r="N159" s="22"/>
      <c r="X159" s="17"/>
    </row>
    <row r="160" spans="10:24" ht="12.75" x14ac:dyDescent="0.2">
      <c r="J160" s="22"/>
      <c r="N160" s="22"/>
      <c r="X160" s="17"/>
    </row>
    <row r="161" spans="10:24" ht="12.75" x14ac:dyDescent="0.2">
      <c r="J161" s="22"/>
      <c r="N161" s="22"/>
      <c r="X161" s="17"/>
    </row>
    <row r="162" spans="10:24" ht="12.75" x14ac:dyDescent="0.2">
      <c r="J162" s="22"/>
      <c r="N162" s="22"/>
      <c r="X162" s="17"/>
    </row>
    <row r="163" spans="10:24" ht="12.75" x14ac:dyDescent="0.2">
      <c r="J163" s="22"/>
      <c r="N163" s="22"/>
      <c r="X163" s="17"/>
    </row>
    <row r="164" spans="10:24" ht="12.75" x14ac:dyDescent="0.2">
      <c r="J164" s="22"/>
      <c r="N164" s="22"/>
      <c r="X164" s="17"/>
    </row>
    <row r="165" spans="10:24" ht="12.75" x14ac:dyDescent="0.2">
      <c r="J165" s="22"/>
      <c r="N165" s="22"/>
      <c r="X165" s="17"/>
    </row>
    <row r="166" spans="10:24" ht="12.75" x14ac:dyDescent="0.2">
      <c r="J166" s="22"/>
      <c r="N166" s="22"/>
      <c r="X166" s="17"/>
    </row>
    <row r="167" spans="10:24" ht="12.75" x14ac:dyDescent="0.2">
      <c r="J167" s="22"/>
      <c r="N167" s="22"/>
      <c r="X167" s="17"/>
    </row>
    <row r="168" spans="10:24" ht="12.75" x14ac:dyDescent="0.2">
      <c r="J168" s="22"/>
      <c r="N168" s="22"/>
      <c r="X168" s="17"/>
    </row>
    <row r="169" spans="10:24" ht="12.75" x14ac:dyDescent="0.2">
      <c r="J169" s="22"/>
      <c r="N169" s="22"/>
      <c r="X169" s="17"/>
    </row>
    <row r="170" spans="10:24" ht="12.75" x14ac:dyDescent="0.2">
      <c r="J170" s="22"/>
      <c r="N170" s="22"/>
      <c r="X170" s="17"/>
    </row>
    <row r="171" spans="10:24" ht="12.75" x14ac:dyDescent="0.2">
      <c r="J171" s="22"/>
      <c r="N171" s="22"/>
      <c r="X171" s="17"/>
    </row>
    <row r="172" spans="10:24" ht="12.75" x14ac:dyDescent="0.2">
      <c r="J172" s="22"/>
      <c r="N172" s="22"/>
      <c r="X172" s="17"/>
    </row>
    <row r="173" spans="10:24" ht="12.75" x14ac:dyDescent="0.2">
      <c r="J173" s="22"/>
      <c r="N173" s="22"/>
      <c r="X173" s="17"/>
    </row>
    <row r="174" spans="10:24" ht="12.75" x14ac:dyDescent="0.2">
      <c r="J174" s="22"/>
      <c r="N174" s="22"/>
      <c r="X174" s="17"/>
    </row>
    <row r="175" spans="10:24" ht="12.75" x14ac:dyDescent="0.2">
      <c r="J175" s="22"/>
      <c r="N175" s="22"/>
      <c r="X175" s="17"/>
    </row>
    <row r="176" spans="10:24" ht="12.75" x14ac:dyDescent="0.2">
      <c r="J176" s="22"/>
      <c r="N176" s="22"/>
      <c r="X176" s="17"/>
    </row>
    <row r="177" spans="10:24" ht="12.75" x14ac:dyDescent="0.2">
      <c r="J177" s="22"/>
      <c r="N177" s="22"/>
      <c r="X177" s="17"/>
    </row>
    <row r="178" spans="10:24" ht="12.75" x14ac:dyDescent="0.2">
      <c r="J178" s="22"/>
      <c r="N178" s="22"/>
      <c r="X178" s="17"/>
    </row>
    <row r="179" spans="10:24" ht="12.75" x14ac:dyDescent="0.2">
      <c r="J179" s="22"/>
      <c r="N179" s="22"/>
      <c r="X179" s="17"/>
    </row>
    <row r="180" spans="10:24" ht="12.75" x14ac:dyDescent="0.2">
      <c r="J180" s="22"/>
      <c r="N180" s="22"/>
      <c r="X180" s="17"/>
    </row>
    <row r="181" spans="10:24" ht="12.75" x14ac:dyDescent="0.2">
      <c r="J181" s="22"/>
      <c r="N181" s="22"/>
      <c r="X181" s="17"/>
    </row>
    <row r="182" spans="10:24" ht="12.75" x14ac:dyDescent="0.2">
      <c r="J182" s="22"/>
      <c r="N182" s="22"/>
      <c r="X182" s="17"/>
    </row>
    <row r="183" spans="10:24" ht="12.75" x14ac:dyDescent="0.2">
      <c r="J183" s="22"/>
      <c r="N183" s="22"/>
      <c r="X183" s="17"/>
    </row>
    <row r="184" spans="10:24" ht="12.75" x14ac:dyDescent="0.2">
      <c r="J184" s="22"/>
      <c r="N184" s="22"/>
      <c r="X184" s="17"/>
    </row>
    <row r="185" spans="10:24" ht="12.75" x14ac:dyDescent="0.2">
      <c r="J185" s="22"/>
      <c r="N185" s="22"/>
      <c r="X185" s="17"/>
    </row>
    <row r="186" spans="10:24" ht="12.75" x14ac:dyDescent="0.2">
      <c r="J186" s="22"/>
      <c r="N186" s="22"/>
      <c r="X186" s="17"/>
    </row>
    <row r="187" spans="10:24" ht="12.75" x14ac:dyDescent="0.2">
      <c r="J187" s="22"/>
      <c r="N187" s="22"/>
      <c r="X187" s="17"/>
    </row>
    <row r="188" spans="10:24" ht="12.75" x14ac:dyDescent="0.2">
      <c r="J188" s="22"/>
      <c r="N188" s="22"/>
      <c r="X188" s="17"/>
    </row>
    <row r="189" spans="10:24" ht="12.75" x14ac:dyDescent="0.2">
      <c r="J189" s="22"/>
      <c r="N189" s="22"/>
      <c r="X189" s="17"/>
    </row>
    <row r="190" spans="10:24" ht="12.75" x14ac:dyDescent="0.2">
      <c r="J190" s="22"/>
      <c r="N190" s="22"/>
      <c r="X190" s="17"/>
    </row>
    <row r="191" spans="10:24" ht="12.75" x14ac:dyDescent="0.2">
      <c r="J191" s="22"/>
      <c r="N191" s="22"/>
      <c r="X191" s="17"/>
    </row>
    <row r="192" spans="10:24" ht="12.75" x14ac:dyDescent="0.2">
      <c r="J192" s="22"/>
      <c r="N192" s="22"/>
      <c r="X192" s="17"/>
    </row>
    <row r="193" spans="10:24" ht="12.75" x14ac:dyDescent="0.2">
      <c r="J193" s="22"/>
      <c r="N193" s="22"/>
      <c r="X193" s="17"/>
    </row>
    <row r="194" spans="10:24" ht="12.75" x14ac:dyDescent="0.2">
      <c r="J194" s="22"/>
      <c r="N194" s="22"/>
      <c r="X194" s="17"/>
    </row>
    <row r="195" spans="10:24" ht="12.75" x14ac:dyDescent="0.2">
      <c r="J195" s="22"/>
      <c r="N195" s="22"/>
      <c r="X195" s="17"/>
    </row>
    <row r="196" spans="10:24" ht="12.75" x14ac:dyDescent="0.2">
      <c r="J196" s="22"/>
      <c r="N196" s="22"/>
      <c r="X196" s="17"/>
    </row>
    <row r="197" spans="10:24" ht="12.75" x14ac:dyDescent="0.2">
      <c r="J197" s="22"/>
      <c r="N197" s="22"/>
      <c r="X197" s="17"/>
    </row>
    <row r="198" spans="10:24" ht="12.75" x14ac:dyDescent="0.2">
      <c r="J198" s="22"/>
      <c r="N198" s="22"/>
      <c r="X198" s="17"/>
    </row>
    <row r="199" spans="10:24" ht="12.75" x14ac:dyDescent="0.2">
      <c r="J199" s="22"/>
      <c r="N199" s="22"/>
      <c r="X199" s="17"/>
    </row>
    <row r="200" spans="10:24" ht="12.75" x14ac:dyDescent="0.2">
      <c r="J200" s="22"/>
      <c r="N200" s="22"/>
      <c r="X200" s="17"/>
    </row>
    <row r="201" spans="10:24" ht="12.75" x14ac:dyDescent="0.2">
      <c r="J201" s="22"/>
      <c r="N201" s="22"/>
      <c r="X201" s="17"/>
    </row>
    <row r="202" spans="10:24" ht="12.75" x14ac:dyDescent="0.2">
      <c r="J202" s="22"/>
      <c r="N202" s="22"/>
      <c r="X202" s="17"/>
    </row>
    <row r="203" spans="10:24" ht="12.75" x14ac:dyDescent="0.2">
      <c r="J203" s="22"/>
      <c r="N203" s="22"/>
      <c r="X203" s="17"/>
    </row>
    <row r="204" spans="10:24" ht="12.75" x14ac:dyDescent="0.2">
      <c r="J204" s="22"/>
      <c r="N204" s="22"/>
      <c r="X204" s="17"/>
    </row>
    <row r="205" spans="10:24" ht="12.75" x14ac:dyDescent="0.2">
      <c r="J205" s="22"/>
      <c r="N205" s="22"/>
      <c r="X205" s="17"/>
    </row>
    <row r="206" spans="10:24" ht="12.75" x14ac:dyDescent="0.2">
      <c r="J206" s="22"/>
      <c r="N206" s="22"/>
      <c r="X206" s="17"/>
    </row>
    <row r="207" spans="10:24" ht="12.75" x14ac:dyDescent="0.2">
      <c r="J207" s="22"/>
      <c r="N207" s="22"/>
      <c r="X207" s="17"/>
    </row>
    <row r="208" spans="10:24" ht="12.75" x14ac:dyDescent="0.2">
      <c r="J208" s="22"/>
      <c r="N208" s="22"/>
      <c r="X208" s="17"/>
    </row>
    <row r="209" spans="10:24" ht="12.75" x14ac:dyDescent="0.2">
      <c r="J209" s="22"/>
      <c r="N209" s="22"/>
      <c r="X209" s="17"/>
    </row>
    <row r="210" spans="10:24" ht="12.75" x14ac:dyDescent="0.2">
      <c r="J210" s="22"/>
      <c r="N210" s="22"/>
      <c r="X210" s="17"/>
    </row>
    <row r="211" spans="10:24" ht="12.75" x14ac:dyDescent="0.2">
      <c r="J211" s="22"/>
      <c r="N211" s="22"/>
      <c r="X211" s="17"/>
    </row>
    <row r="212" spans="10:24" ht="12.75" x14ac:dyDescent="0.2">
      <c r="J212" s="22"/>
      <c r="N212" s="22"/>
      <c r="X212" s="17"/>
    </row>
    <row r="213" spans="10:24" ht="12.75" x14ac:dyDescent="0.2">
      <c r="J213" s="22"/>
      <c r="N213" s="22"/>
      <c r="X213" s="17"/>
    </row>
    <row r="214" spans="10:24" ht="12.75" x14ac:dyDescent="0.2">
      <c r="J214" s="22"/>
      <c r="N214" s="22"/>
      <c r="X214" s="17"/>
    </row>
    <row r="215" spans="10:24" ht="12.75" x14ac:dyDescent="0.2">
      <c r="J215" s="22"/>
      <c r="N215" s="22"/>
      <c r="X215" s="17"/>
    </row>
    <row r="216" spans="10:24" ht="12.75" x14ac:dyDescent="0.2">
      <c r="J216" s="22"/>
      <c r="N216" s="22"/>
      <c r="X216" s="17"/>
    </row>
    <row r="217" spans="10:24" ht="12.75" x14ac:dyDescent="0.2">
      <c r="J217" s="22"/>
      <c r="N217" s="22"/>
      <c r="X217" s="17"/>
    </row>
    <row r="218" spans="10:24" ht="12.75" x14ac:dyDescent="0.2">
      <c r="J218" s="22"/>
      <c r="N218" s="22"/>
      <c r="X218" s="17"/>
    </row>
    <row r="219" spans="10:24" ht="12.75" x14ac:dyDescent="0.2">
      <c r="J219" s="22"/>
      <c r="N219" s="22"/>
      <c r="X219" s="17"/>
    </row>
    <row r="220" spans="10:24" ht="12.75" x14ac:dyDescent="0.2">
      <c r="J220" s="22"/>
      <c r="N220" s="22"/>
      <c r="X220" s="17"/>
    </row>
    <row r="221" spans="10:24" ht="12.75" x14ac:dyDescent="0.2">
      <c r="J221" s="22"/>
      <c r="N221" s="22"/>
      <c r="X221" s="17"/>
    </row>
    <row r="222" spans="10:24" ht="12.75" x14ac:dyDescent="0.2">
      <c r="J222" s="22"/>
      <c r="N222" s="22"/>
      <c r="X222" s="17"/>
    </row>
    <row r="223" spans="10:24" ht="12.75" x14ac:dyDescent="0.2">
      <c r="J223" s="22"/>
      <c r="N223" s="22"/>
      <c r="X223" s="17"/>
    </row>
    <row r="224" spans="10:24" ht="12.75" x14ac:dyDescent="0.2">
      <c r="J224" s="22"/>
      <c r="N224" s="22"/>
      <c r="X224" s="17"/>
    </row>
    <row r="225" spans="10:24" ht="12.75" x14ac:dyDescent="0.2">
      <c r="J225" s="22"/>
      <c r="N225" s="22"/>
      <c r="X225" s="17"/>
    </row>
    <row r="226" spans="10:24" ht="12.75" x14ac:dyDescent="0.2">
      <c r="J226" s="22"/>
      <c r="N226" s="22"/>
      <c r="X226" s="17"/>
    </row>
    <row r="227" spans="10:24" ht="12.75" x14ac:dyDescent="0.2">
      <c r="J227" s="22"/>
      <c r="N227" s="22"/>
      <c r="X227" s="17"/>
    </row>
    <row r="228" spans="10:24" ht="12.75" x14ac:dyDescent="0.2">
      <c r="J228" s="22"/>
      <c r="N228" s="22"/>
      <c r="X228" s="17"/>
    </row>
    <row r="229" spans="10:24" ht="12.75" x14ac:dyDescent="0.2">
      <c r="J229" s="22"/>
      <c r="N229" s="22"/>
      <c r="X229" s="17"/>
    </row>
    <row r="230" spans="10:24" ht="12.75" x14ac:dyDescent="0.2">
      <c r="J230" s="22"/>
      <c r="N230" s="22"/>
      <c r="X230" s="17"/>
    </row>
    <row r="231" spans="10:24" ht="12.75" x14ac:dyDescent="0.2">
      <c r="J231" s="22"/>
      <c r="N231" s="22"/>
      <c r="X231" s="17"/>
    </row>
    <row r="232" spans="10:24" ht="12.75" x14ac:dyDescent="0.2">
      <c r="J232" s="22"/>
      <c r="N232" s="22"/>
      <c r="X232" s="17"/>
    </row>
    <row r="233" spans="10:24" ht="12.75" x14ac:dyDescent="0.2">
      <c r="J233" s="22"/>
      <c r="N233" s="22"/>
      <c r="X233" s="17"/>
    </row>
    <row r="234" spans="10:24" ht="12.75" x14ac:dyDescent="0.2">
      <c r="J234" s="22"/>
      <c r="N234" s="22"/>
      <c r="X234" s="17"/>
    </row>
    <row r="235" spans="10:24" ht="12.75" x14ac:dyDescent="0.2">
      <c r="J235" s="22"/>
      <c r="N235" s="22"/>
      <c r="X235" s="17"/>
    </row>
    <row r="236" spans="10:24" ht="12.75" x14ac:dyDescent="0.2">
      <c r="J236" s="22"/>
      <c r="N236" s="22"/>
      <c r="X236" s="17"/>
    </row>
    <row r="237" spans="10:24" ht="12.75" x14ac:dyDescent="0.2">
      <c r="J237" s="22"/>
      <c r="N237" s="22"/>
      <c r="X237" s="17"/>
    </row>
    <row r="238" spans="10:24" ht="12.75" x14ac:dyDescent="0.2">
      <c r="J238" s="22"/>
      <c r="N238" s="22"/>
      <c r="X238" s="17"/>
    </row>
    <row r="239" spans="10:24" ht="12.75" x14ac:dyDescent="0.2">
      <c r="J239" s="22"/>
      <c r="N239" s="22"/>
      <c r="X239" s="17"/>
    </row>
    <row r="240" spans="10:24" ht="12.75" x14ac:dyDescent="0.2">
      <c r="J240" s="22"/>
      <c r="N240" s="22"/>
      <c r="X240" s="17"/>
    </row>
    <row r="241" spans="10:24" ht="12.75" x14ac:dyDescent="0.2">
      <c r="J241" s="22"/>
      <c r="N241" s="22"/>
      <c r="X241" s="17"/>
    </row>
    <row r="242" spans="10:24" ht="12.75" x14ac:dyDescent="0.2">
      <c r="J242" s="22"/>
      <c r="N242" s="22"/>
      <c r="X242" s="17"/>
    </row>
    <row r="243" spans="10:24" ht="12.75" x14ac:dyDescent="0.2">
      <c r="J243" s="22"/>
      <c r="N243" s="22"/>
      <c r="X243" s="17"/>
    </row>
    <row r="244" spans="10:24" ht="12.75" x14ac:dyDescent="0.2">
      <c r="J244" s="22"/>
      <c r="N244" s="22"/>
      <c r="X244" s="17"/>
    </row>
    <row r="245" spans="10:24" ht="12.75" x14ac:dyDescent="0.2">
      <c r="J245" s="22"/>
      <c r="N245" s="22"/>
      <c r="X245" s="17"/>
    </row>
    <row r="246" spans="10:24" ht="12.75" x14ac:dyDescent="0.2">
      <c r="J246" s="22"/>
      <c r="N246" s="22"/>
      <c r="X246" s="17"/>
    </row>
    <row r="247" spans="10:24" ht="12.75" x14ac:dyDescent="0.2">
      <c r="J247" s="22"/>
      <c r="N247" s="22"/>
      <c r="X247" s="17"/>
    </row>
    <row r="248" spans="10:24" ht="12.75" x14ac:dyDescent="0.2">
      <c r="J248" s="22"/>
      <c r="N248" s="22"/>
      <c r="X248" s="17"/>
    </row>
    <row r="249" spans="10:24" ht="12.75" x14ac:dyDescent="0.2">
      <c r="J249" s="22"/>
      <c r="N249" s="22"/>
      <c r="X249" s="17"/>
    </row>
    <row r="250" spans="10:24" ht="12.75" x14ac:dyDescent="0.2">
      <c r="J250" s="22"/>
      <c r="N250" s="22"/>
      <c r="X250" s="17"/>
    </row>
    <row r="251" spans="10:24" ht="12.75" x14ac:dyDescent="0.2">
      <c r="J251" s="22"/>
      <c r="N251" s="22"/>
      <c r="X251" s="17"/>
    </row>
    <row r="252" spans="10:24" ht="12.75" x14ac:dyDescent="0.2">
      <c r="J252" s="22"/>
      <c r="N252" s="22"/>
      <c r="X252" s="17"/>
    </row>
    <row r="253" spans="10:24" ht="12.75" x14ac:dyDescent="0.2">
      <c r="J253" s="22"/>
      <c r="N253" s="22"/>
      <c r="X253" s="17"/>
    </row>
    <row r="254" spans="10:24" ht="12.75" x14ac:dyDescent="0.2">
      <c r="J254" s="22"/>
      <c r="N254" s="22"/>
      <c r="X254" s="17"/>
    </row>
    <row r="255" spans="10:24" ht="12.75" x14ac:dyDescent="0.2">
      <c r="J255" s="22"/>
      <c r="N255" s="22"/>
      <c r="X255" s="17"/>
    </row>
    <row r="256" spans="10:24" ht="12.75" x14ac:dyDescent="0.2">
      <c r="J256" s="22"/>
      <c r="N256" s="22"/>
      <c r="X256" s="17"/>
    </row>
    <row r="257" spans="10:24" ht="12.75" x14ac:dyDescent="0.2">
      <c r="J257" s="22"/>
      <c r="N257" s="22"/>
      <c r="X257" s="17"/>
    </row>
    <row r="258" spans="10:24" ht="12.75" x14ac:dyDescent="0.2">
      <c r="J258" s="22"/>
      <c r="N258" s="22"/>
      <c r="X258" s="17"/>
    </row>
    <row r="259" spans="10:24" ht="12.75" x14ac:dyDescent="0.2">
      <c r="J259" s="22"/>
      <c r="N259" s="22"/>
      <c r="X259" s="17"/>
    </row>
    <row r="260" spans="10:24" ht="12.75" x14ac:dyDescent="0.2">
      <c r="J260" s="22"/>
      <c r="N260" s="22"/>
      <c r="X260" s="17"/>
    </row>
    <row r="261" spans="10:24" ht="12.75" x14ac:dyDescent="0.2">
      <c r="J261" s="22"/>
      <c r="N261" s="22"/>
      <c r="X261" s="17"/>
    </row>
    <row r="262" spans="10:24" ht="12.75" x14ac:dyDescent="0.2">
      <c r="J262" s="22"/>
      <c r="N262" s="22"/>
      <c r="X262" s="17"/>
    </row>
    <row r="263" spans="10:24" ht="12.75" x14ac:dyDescent="0.2">
      <c r="J263" s="22"/>
      <c r="N263" s="22"/>
      <c r="X263" s="17"/>
    </row>
    <row r="264" spans="10:24" ht="12.75" x14ac:dyDescent="0.2">
      <c r="J264" s="22"/>
      <c r="N264" s="22"/>
      <c r="X264" s="17"/>
    </row>
    <row r="265" spans="10:24" ht="12.75" x14ac:dyDescent="0.2">
      <c r="J265" s="22"/>
      <c r="N265" s="22"/>
      <c r="X265" s="17"/>
    </row>
    <row r="266" spans="10:24" ht="12.75" x14ac:dyDescent="0.2">
      <c r="J266" s="22"/>
      <c r="N266" s="22"/>
      <c r="X266" s="17"/>
    </row>
    <row r="267" spans="10:24" ht="12.75" x14ac:dyDescent="0.2">
      <c r="J267" s="22"/>
      <c r="N267" s="22"/>
      <c r="X267" s="17"/>
    </row>
    <row r="268" spans="10:24" ht="12.75" x14ac:dyDescent="0.2">
      <c r="J268" s="22"/>
      <c r="N268" s="22"/>
      <c r="X268" s="17"/>
    </row>
    <row r="269" spans="10:24" ht="12.75" x14ac:dyDescent="0.2">
      <c r="J269" s="22"/>
      <c r="N269" s="22"/>
      <c r="X269" s="17"/>
    </row>
    <row r="270" spans="10:24" ht="12.75" x14ac:dyDescent="0.2">
      <c r="J270" s="22"/>
      <c r="N270" s="22"/>
      <c r="X270" s="17"/>
    </row>
    <row r="271" spans="10:24" ht="12.75" x14ac:dyDescent="0.2">
      <c r="J271" s="22"/>
      <c r="N271" s="22"/>
      <c r="X271" s="17"/>
    </row>
    <row r="272" spans="10:24" ht="12.75" x14ac:dyDescent="0.2">
      <c r="J272" s="22"/>
      <c r="N272" s="22"/>
      <c r="X272" s="17"/>
    </row>
    <row r="273" spans="10:24" ht="12.75" x14ac:dyDescent="0.2">
      <c r="J273" s="22"/>
      <c r="N273" s="22"/>
      <c r="X273" s="17"/>
    </row>
    <row r="274" spans="10:24" ht="12.75" x14ac:dyDescent="0.2">
      <c r="J274" s="22"/>
      <c r="N274" s="22"/>
      <c r="X274" s="17"/>
    </row>
    <row r="275" spans="10:24" ht="12.75" x14ac:dyDescent="0.2">
      <c r="J275" s="22"/>
      <c r="N275" s="22"/>
      <c r="X275" s="17"/>
    </row>
    <row r="276" spans="10:24" ht="12.75" x14ac:dyDescent="0.2">
      <c r="J276" s="22"/>
      <c r="N276" s="22"/>
      <c r="X276" s="17"/>
    </row>
    <row r="277" spans="10:24" ht="12.75" x14ac:dyDescent="0.2">
      <c r="J277" s="22"/>
      <c r="N277" s="22"/>
      <c r="X277" s="17"/>
    </row>
    <row r="278" spans="10:24" ht="12.75" x14ac:dyDescent="0.2">
      <c r="J278" s="22"/>
      <c r="N278" s="22"/>
      <c r="X278" s="17"/>
    </row>
    <row r="279" spans="10:24" ht="12.75" x14ac:dyDescent="0.2">
      <c r="J279" s="22"/>
      <c r="N279" s="22"/>
      <c r="X279" s="17"/>
    </row>
    <row r="280" spans="10:24" ht="12.75" x14ac:dyDescent="0.2">
      <c r="J280" s="22"/>
      <c r="N280" s="22"/>
      <c r="X280" s="17"/>
    </row>
    <row r="281" spans="10:24" ht="12.75" x14ac:dyDescent="0.2">
      <c r="J281" s="22"/>
      <c r="N281" s="22"/>
      <c r="X281" s="17"/>
    </row>
    <row r="282" spans="10:24" ht="12.75" x14ac:dyDescent="0.2">
      <c r="J282" s="22"/>
      <c r="N282" s="22"/>
      <c r="X282" s="17"/>
    </row>
    <row r="283" spans="10:24" ht="12.75" x14ac:dyDescent="0.2">
      <c r="J283" s="22"/>
      <c r="N283" s="22"/>
      <c r="X283" s="17"/>
    </row>
    <row r="284" spans="10:24" ht="12.75" x14ac:dyDescent="0.2">
      <c r="J284" s="22"/>
      <c r="N284" s="22"/>
      <c r="X284" s="17"/>
    </row>
    <row r="285" spans="10:24" ht="12.75" x14ac:dyDescent="0.2">
      <c r="J285" s="22"/>
      <c r="N285" s="22"/>
      <c r="X285" s="17"/>
    </row>
    <row r="286" spans="10:24" ht="12.75" x14ac:dyDescent="0.2">
      <c r="J286" s="22"/>
      <c r="N286" s="22"/>
      <c r="X286" s="17"/>
    </row>
    <row r="287" spans="10:24" ht="12.75" x14ac:dyDescent="0.2">
      <c r="J287" s="22"/>
      <c r="N287" s="22"/>
      <c r="X287" s="17"/>
    </row>
    <row r="288" spans="10:24" ht="12.75" x14ac:dyDescent="0.2">
      <c r="J288" s="22"/>
      <c r="N288" s="22"/>
      <c r="X288" s="17"/>
    </row>
    <row r="289" spans="10:24" ht="12.75" x14ac:dyDescent="0.2">
      <c r="J289" s="22"/>
      <c r="N289" s="22"/>
      <c r="X289" s="17"/>
    </row>
    <row r="290" spans="10:24" ht="12.75" x14ac:dyDescent="0.2">
      <c r="J290" s="22"/>
      <c r="N290" s="22"/>
      <c r="X290" s="17"/>
    </row>
    <row r="291" spans="10:24" ht="12.75" x14ac:dyDescent="0.2">
      <c r="J291" s="22"/>
      <c r="N291" s="22"/>
      <c r="X291" s="17"/>
    </row>
    <row r="292" spans="10:24" ht="12.75" x14ac:dyDescent="0.2">
      <c r="J292" s="22"/>
      <c r="N292" s="22"/>
      <c r="X292" s="17"/>
    </row>
    <row r="293" spans="10:24" ht="12.75" x14ac:dyDescent="0.2">
      <c r="J293" s="22"/>
      <c r="N293" s="22"/>
      <c r="X293" s="17"/>
    </row>
    <row r="294" spans="10:24" ht="12.75" x14ac:dyDescent="0.2">
      <c r="J294" s="22"/>
      <c r="N294" s="22"/>
      <c r="X294" s="17"/>
    </row>
    <row r="295" spans="10:24" ht="12.75" x14ac:dyDescent="0.2">
      <c r="J295" s="22"/>
      <c r="N295" s="22"/>
      <c r="X295" s="17"/>
    </row>
    <row r="296" spans="10:24" ht="12.75" x14ac:dyDescent="0.2">
      <c r="J296" s="22"/>
      <c r="N296" s="22"/>
      <c r="X296" s="17"/>
    </row>
    <row r="297" spans="10:24" ht="12.75" x14ac:dyDescent="0.2">
      <c r="J297" s="22"/>
      <c r="N297" s="22"/>
      <c r="X297" s="17"/>
    </row>
    <row r="298" spans="10:24" ht="12.75" x14ac:dyDescent="0.2">
      <c r="J298" s="22"/>
      <c r="N298" s="22"/>
      <c r="X298" s="17"/>
    </row>
    <row r="299" spans="10:24" ht="12.75" x14ac:dyDescent="0.2">
      <c r="J299" s="22"/>
      <c r="N299" s="22"/>
      <c r="X299" s="17"/>
    </row>
    <row r="300" spans="10:24" ht="12.75" x14ac:dyDescent="0.2">
      <c r="J300" s="22"/>
      <c r="N300" s="22"/>
      <c r="X300" s="17"/>
    </row>
    <row r="301" spans="10:24" ht="12.75" x14ac:dyDescent="0.2">
      <c r="J301" s="22"/>
      <c r="N301" s="22"/>
      <c r="X301" s="17"/>
    </row>
    <row r="302" spans="10:24" ht="12.75" x14ac:dyDescent="0.2">
      <c r="J302" s="22"/>
      <c r="N302" s="22"/>
      <c r="X302" s="17"/>
    </row>
    <row r="303" spans="10:24" ht="12.75" x14ac:dyDescent="0.2">
      <c r="J303" s="22"/>
      <c r="N303" s="22"/>
      <c r="X303" s="17"/>
    </row>
    <row r="304" spans="10:24" ht="12.75" x14ac:dyDescent="0.2">
      <c r="J304" s="22"/>
      <c r="N304" s="22"/>
      <c r="X304" s="17"/>
    </row>
    <row r="305" spans="10:24" ht="12.75" x14ac:dyDescent="0.2">
      <c r="J305" s="22"/>
      <c r="N305" s="22"/>
      <c r="X305" s="17"/>
    </row>
    <row r="306" spans="10:24" ht="12.75" x14ac:dyDescent="0.2">
      <c r="J306" s="22"/>
      <c r="N306" s="22"/>
      <c r="X306" s="17"/>
    </row>
    <row r="307" spans="10:24" ht="12.75" x14ac:dyDescent="0.2">
      <c r="J307" s="22"/>
      <c r="N307" s="22"/>
      <c r="X307" s="17"/>
    </row>
    <row r="308" spans="10:24" ht="12.75" x14ac:dyDescent="0.2">
      <c r="J308" s="22"/>
      <c r="N308" s="22"/>
      <c r="X308" s="17"/>
    </row>
    <row r="309" spans="10:24" ht="12.75" x14ac:dyDescent="0.2">
      <c r="J309" s="22"/>
      <c r="N309" s="22"/>
      <c r="X309" s="17"/>
    </row>
    <row r="310" spans="10:24" ht="12.75" x14ac:dyDescent="0.2">
      <c r="J310" s="22"/>
      <c r="N310" s="22"/>
      <c r="X310" s="17"/>
    </row>
    <row r="311" spans="10:24" ht="12.75" x14ac:dyDescent="0.2">
      <c r="J311" s="22"/>
      <c r="N311" s="22"/>
      <c r="X311" s="17"/>
    </row>
    <row r="312" spans="10:24" ht="12.75" x14ac:dyDescent="0.2">
      <c r="J312" s="22"/>
      <c r="N312" s="22"/>
      <c r="X312" s="17"/>
    </row>
    <row r="313" spans="10:24" ht="12.75" x14ac:dyDescent="0.2">
      <c r="J313" s="22"/>
      <c r="N313" s="22"/>
      <c r="X313" s="17"/>
    </row>
    <row r="314" spans="10:24" ht="12.75" x14ac:dyDescent="0.2">
      <c r="J314" s="22"/>
      <c r="N314" s="22"/>
      <c r="X314" s="17"/>
    </row>
    <row r="315" spans="10:24" ht="12.75" x14ac:dyDescent="0.2">
      <c r="J315" s="22"/>
      <c r="N315" s="22"/>
      <c r="X315" s="17"/>
    </row>
    <row r="316" spans="10:24" ht="12.75" x14ac:dyDescent="0.2">
      <c r="J316" s="22"/>
      <c r="N316" s="22"/>
      <c r="X316" s="17"/>
    </row>
    <row r="317" spans="10:24" ht="12.75" x14ac:dyDescent="0.2">
      <c r="J317" s="22"/>
      <c r="N317" s="22"/>
      <c r="X317" s="17"/>
    </row>
    <row r="318" spans="10:24" ht="12.75" x14ac:dyDescent="0.2">
      <c r="J318" s="22"/>
      <c r="N318" s="22"/>
      <c r="X318" s="17"/>
    </row>
    <row r="319" spans="10:24" ht="12.75" x14ac:dyDescent="0.2">
      <c r="J319" s="22"/>
      <c r="N319" s="22"/>
      <c r="X319" s="17"/>
    </row>
    <row r="320" spans="10:24" ht="12.75" x14ac:dyDescent="0.2">
      <c r="J320" s="22"/>
      <c r="N320" s="22"/>
      <c r="X320" s="17"/>
    </row>
    <row r="321" spans="10:24" ht="12.75" x14ac:dyDescent="0.2">
      <c r="J321" s="22"/>
      <c r="N321" s="22"/>
      <c r="X321" s="17"/>
    </row>
    <row r="322" spans="10:24" ht="12.75" x14ac:dyDescent="0.2">
      <c r="J322" s="22"/>
      <c r="N322" s="22"/>
      <c r="X322" s="17"/>
    </row>
    <row r="323" spans="10:24" ht="12.75" x14ac:dyDescent="0.2">
      <c r="J323" s="22"/>
      <c r="N323" s="22"/>
      <c r="X323" s="17"/>
    </row>
    <row r="324" spans="10:24" ht="12.75" x14ac:dyDescent="0.2">
      <c r="J324" s="22"/>
      <c r="N324" s="22"/>
      <c r="X324" s="17"/>
    </row>
    <row r="325" spans="10:24" ht="12.75" x14ac:dyDescent="0.2">
      <c r="J325" s="22"/>
      <c r="N325" s="22"/>
      <c r="X325" s="17"/>
    </row>
    <row r="326" spans="10:24" ht="12.75" x14ac:dyDescent="0.2">
      <c r="J326" s="22"/>
      <c r="N326" s="22"/>
      <c r="X326" s="17"/>
    </row>
    <row r="327" spans="10:24" ht="12.75" x14ac:dyDescent="0.2">
      <c r="J327" s="22"/>
      <c r="N327" s="22"/>
      <c r="X327" s="17"/>
    </row>
    <row r="328" spans="10:24" ht="12.75" x14ac:dyDescent="0.2">
      <c r="J328" s="22"/>
      <c r="N328" s="22"/>
      <c r="X328" s="17"/>
    </row>
    <row r="329" spans="10:24" ht="12.75" x14ac:dyDescent="0.2">
      <c r="J329" s="22"/>
      <c r="N329" s="22"/>
      <c r="X329" s="17"/>
    </row>
    <row r="330" spans="10:24" ht="12.75" x14ac:dyDescent="0.2">
      <c r="J330" s="22"/>
      <c r="N330" s="22"/>
      <c r="X330" s="17"/>
    </row>
    <row r="331" spans="10:24" ht="12.75" x14ac:dyDescent="0.2">
      <c r="J331" s="22"/>
      <c r="N331" s="22"/>
      <c r="X331" s="17"/>
    </row>
    <row r="332" spans="10:24" ht="12.75" x14ac:dyDescent="0.2">
      <c r="J332" s="22"/>
      <c r="N332" s="22"/>
      <c r="X332" s="17"/>
    </row>
    <row r="333" spans="10:24" ht="12.75" x14ac:dyDescent="0.2">
      <c r="J333" s="22"/>
      <c r="N333" s="22"/>
      <c r="X333" s="17"/>
    </row>
    <row r="334" spans="10:24" ht="12.75" x14ac:dyDescent="0.2">
      <c r="J334" s="22"/>
      <c r="N334" s="22"/>
      <c r="X334" s="17"/>
    </row>
    <row r="335" spans="10:24" ht="12.75" x14ac:dyDescent="0.2">
      <c r="J335" s="22"/>
      <c r="N335" s="22"/>
      <c r="X335" s="17"/>
    </row>
    <row r="336" spans="10:24" ht="12.75" x14ac:dyDescent="0.2">
      <c r="J336" s="22"/>
      <c r="N336" s="22"/>
      <c r="X336" s="17"/>
    </row>
    <row r="337" spans="10:24" ht="12.75" x14ac:dyDescent="0.2">
      <c r="J337" s="22"/>
      <c r="N337" s="22"/>
      <c r="X337" s="17"/>
    </row>
    <row r="338" spans="10:24" ht="12.75" x14ac:dyDescent="0.2">
      <c r="J338" s="22"/>
      <c r="N338" s="22"/>
      <c r="X338" s="17"/>
    </row>
    <row r="339" spans="10:24" ht="12.75" x14ac:dyDescent="0.2">
      <c r="J339" s="22"/>
      <c r="N339" s="22"/>
      <c r="X339" s="17"/>
    </row>
    <row r="340" spans="10:24" ht="12.75" x14ac:dyDescent="0.2">
      <c r="J340" s="22"/>
      <c r="N340" s="22"/>
      <c r="X340" s="17"/>
    </row>
    <row r="341" spans="10:24" ht="12.75" x14ac:dyDescent="0.2">
      <c r="J341" s="22"/>
      <c r="N341" s="22"/>
      <c r="X341" s="17"/>
    </row>
    <row r="342" spans="10:24" ht="12.75" x14ac:dyDescent="0.2">
      <c r="J342" s="22"/>
      <c r="N342" s="22"/>
      <c r="X342" s="17"/>
    </row>
    <row r="343" spans="10:24" ht="12.75" x14ac:dyDescent="0.2">
      <c r="J343" s="22"/>
      <c r="N343" s="22"/>
      <c r="X343" s="17"/>
    </row>
    <row r="344" spans="10:24" ht="12.75" x14ac:dyDescent="0.2">
      <c r="J344" s="22"/>
      <c r="N344" s="22"/>
      <c r="X344" s="17"/>
    </row>
    <row r="345" spans="10:24" ht="12.75" x14ac:dyDescent="0.2">
      <c r="J345" s="22"/>
      <c r="N345" s="22"/>
      <c r="X345" s="17"/>
    </row>
    <row r="346" spans="10:24" ht="12.75" x14ac:dyDescent="0.2">
      <c r="J346" s="22"/>
      <c r="N346" s="22"/>
      <c r="X346" s="17"/>
    </row>
    <row r="347" spans="10:24" ht="12.75" x14ac:dyDescent="0.2">
      <c r="J347" s="22"/>
      <c r="N347" s="22"/>
      <c r="X347" s="17"/>
    </row>
    <row r="348" spans="10:24" ht="12.75" x14ac:dyDescent="0.2">
      <c r="J348" s="22"/>
      <c r="N348" s="22"/>
      <c r="X348" s="17"/>
    </row>
    <row r="349" spans="10:24" ht="12.75" x14ac:dyDescent="0.2">
      <c r="J349" s="22"/>
      <c r="N349" s="22"/>
      <c r="X349" s="17"/>
    </row>
    <row r="350" spans="10:24" ht="12.75" x14ac:dyDescent="0.2">
      <c r="J350" s="22"/>
      <c r="N350" s="22"/>
      <c r="X350" s="17"/>
    </row>
    <row r="351" spans="10:24" ht="12.75" x14ac:dyDescent="0.2">
      <c r="J351" s="22"/>
      <c r="N351" s="22"/>
      <c r="X351" s="17"/>
    </row>
    <row r="352" spans="10:24" ht="12.75" x14ac:dyDescent="0.2">
      <c r="J352" s="22"/>
      <c r="N352" s="22"/>
      <c r="X352" s="17"/>
    </row>
    <row r="353" spans="10:24" ht="12.75" x14ac:dyDescent="0.2">
      <c r="J353" s="22"/>
      <c r="N353" s="22"/>
      <c r="X353" s="17"/>
    </row>
    <row r="354" spans="10:24" ht="12.75" x14ac:dyDescent="0.2">
      <c r="J354" s="22"/>
      <c r="N354" s="22"/>
      <c r="X354" s="17"/>
    </row>
    <row r="355" spans="10:24" ht="12.75" x14ac:dyDescent="0.2">
      <c r="J355" s="22"/>
      <c r="N355" s="22"/>
      <c r="X355" s="17"/>
    </row>
    <row r="356" spans="10:24" ht="12.75" x14ac:dyDescent="0.2">
      <c r="J356" s="22"/>
      <c r="N356" s="22"/>
      <c r="X356" s="17"/>
    </row>
    <row r="357" spans="10:24" ht="12.75" x14ac:dyDescent="0.2">
      <c r="J357" s="22"/>
      <c r="N357" s="22"/>
      <c r="X357" s="17"/>
    </row>
    <row r="358" spans="10:24" ht="12.75" x14ac:dyDescent="0.2">
      <c r="J358" s="22"/>
      <c r="N358" s="22"/>
      <c r="X358" s="17"/>
    </row>
    <row r="359" spans="10:24" ht="12.75" x14ac:dyDescent="0.2">
      <c r="J359" s="22"/>
      <c r="N359" s="22"/>
      <c r="X359" s="17"/>
    </row>
    <row r="360" spans="10:24" ht="12.75" x14ac:dyDescent="0.2">
      <c r="J360" s="22"/>
      <c r="N360" s="22"/>
      <c r="X360" s="17"/>
    </row>
    <row r="361" spans="10:24" ht="12.75" x14ac:dyDescent="0.2">
      <c r="J361" s="22"/>
      <c r="N361" s="22"/>
      <c r="X361" s="17"/>
    </row>
    <row r="362" spans="10:24" ht="12.75" x14ac:dyDescent="0.2">
      <c r="J362" s="22"/>
      <c r="N362" s="22"/>
      <c r="X362" s="17"/>
    </row>
    <row r="363" spans="10:24" ht="12.75" x14ac:dyDescent="0.2">
      <c r="J363" s="22"/>
      <c r="N363" s="22"/>
      <c r="X363" s="17"/>
    </row>
    <row r="364" spans="10:24" ht="12.75" x14ac:dyDescent="0.2">
      <c r="J364" s="22"/>
      <c r="N364" s="22"/>
      <c r="X364" s="17"/>
    </row>
    <row r="365" spans="10:24" ht="12.75" x14ac:dyDescent="0.2">
      <c r="J365" s="22"/>
      <c r="N365" s="22"/>
      <c r="X365" s="17"/>
    </row>
    <row r="366" spans="10:24" ht="12.75" x14ac:dyDescent="0.2">
      <c r="J366" s="22"/>
      <c r="N366" s="22"/>
      <c r="X366" s="17"/>
    </row>
    <row r="367" spans="10:24" ht="12.75" x14ac:dyDescent="0.2">
      <c r="J367" s="22"/>
      <c r="N367" s="22"/>
      <c r="X367" s="17"/>
    </row>
    <row r="368" spans="10:24" ht="12.75" x14ac:dyDescent="0.2">
      <c r="J368" s="22"/>
      <c r="N368" s="22"/>
      <c r="X368" s="17"/>
    </row>
    <row r="369" spans="10:24" ht="12.75" x14ac:dyDescent="0.2">
      <c r="J369" s="22"/>
      <c r="N369" s="22"/>
      <c r="X369" s="17"/>
    </row>
    <row r="370" spans="10:24" ht="12.75" x14ac:dyDescent="0.2">
      <c r="J370" s="22"/>
      <c r="N370" s="22"/>
      <c r="X370" s="17"/>
    </row>
    <row r="371" spans="10:24" ht="12.75" x14ac:dyDescent="0.2">
      <c r="J371" s="22"/>
      <c r="N371" s="22"/>
      <c r="X371" s="17"/>
    </row>
    <row r="372" spans="10:24" ht="12.75" x14ac:dyDescent="0.2">
      <c r="J372" s="22"/>
      <c r="N372" s="22"/>
      <c r="X372" s="17"/>
    </row>
    <row r="373" spans="10:24" ht="12.75" x14ac:dyDescent="0.2">
      <c r="J373" s="22"/>
      <c r="N373" s="22"/>
      <c r="X373" s="17"/>
    </row>
    <row r="374" spans="10:24" ht="12.75" x14ac:dyDescent="0.2">
      <c r="J374" s="22"/>
      <c r="N374" s="22"/>
      <c r="X374" s="17"/>
    </row>
    <row r="375" spans="10:24" ht="12.75" x14ac:dyDescent="0.2">
      <c r="J375" s="22"/>
      <c r="N375" s="22"/>
      <c r="X375" s="17"/>
    </row>
    <row r="376" spans="10:24" ht="12.75" x14ac:dyDescent="0.2">
      <c r="J376" s="22"/>
      <c r="N376" s="22"/>
      <c r="X376" s="17"/>
    </row>
    <row r="377" spans="10:24" ht="12.75" x14ac:dyDescent="0.2">
      <c r="J377" s="22"/>
      <c r="N377" s="22"/>
      <c r="X377" s="17"/>
    </row>
    <row r="378" spans="10:24" ht="12.75" x14ac:dyDescent="0.2">
      <c r="J378" s="22"/>
      <c r="N378" s="22"/>
      <c r="X378" s="17"/>
    </row>
    <row r="379" spans="10:24" ht="12.75" x14ac:dyDescent="0.2">
      <c r="J379" s="22"/>
      <c r="N379" s="22"/>
      <c r="X379" s="17"/>
    </row>
    <row r="380" spans="10:24" ht="12.75" x14ac:dyDescent="0.2">
      <c r="J380" s="22"/>
      <c r="N380" s="22"/>
      <c r="X380" s="17"/>
    </row>
    <row r="381" spans="10:24" ht="12.75" x14ac:dyDescent="0.2">
      <c r="J381" s="22"/>
      <c r="N381" s="22"/>
      <c r="X381" s="17"/>
    </row>
    <row r="382" spans="10:24" ht="12.75" x14ac:dyDescent="0.2">
      <c r="J382" s="22"/>
      <c r="N382" s="22"/>
      <c r="X382" s="17"/>
    </row>
    <row r="383" spans="10:24" ht="12.75" x14ac:dyDescent="0.2">
      <c r="J383" s="22"/>
      <c r="N383" s="22"/>
      <c r="X383" s="17"/>
    </row>
    <row r="384" spans="10:24" ht="12.75" x14ac:dyDescent="0.2">
      <c r="J384" s="22"/>
      <c r="N384" s="22"/>
      <c r="X384" s="17"/>
    </row>
    <row r="385" spans="10:24" ht="12.75" x14ac:dyDescent="0.2">
      <c r="J385" s="22"/>
      <c r="N385" s="22"/>
      <c r="X385" s="17"/>
    </row>
    <row r="386" spans="10:24" ht="12.75" x14ac:dyDescent="0.2">
      <c r="J386" s="22"/>
      <c r="N386" s="22"/>
      <c r="X386" s="17"/>
    </row>
    <row r="387" spans="10:24" ht="12.75" x14ac:dyDescent="0.2">
      <c r="J387" s="22"/>
      <c r="N387" s="22"/>
      <c r="X387" s="17"/>
    </row>
    <row r="388" spans="10:24" ht="12.75" x14ac:dyDescent="0.2">
      <c r="J388" s="22"/>
      <c r="N388" s="22"/>
      <c r="X388" s="17"/>
    </row>
    <row r="389" spans="10:24" ht="12.75" x14ac:dyDescent="0.2">
      <c r="J389" s="22"/>
      <c r="N389" s="22"/>
      <c r="X389" s="17"/>
    </row>
    <row r="390" spans="10:24" ht="12.75" x14ac:dyDescent="0.2">
      <c r="J390" s="22"/>
      <c r="N390" s="22"/>
      <c r="X390" s="17"/>
    </row>
    <row r="391" spans="10:24" ht="12.75" x14ac:dyDescent="0.2">
      <c r="J391" s="22"/>
      <c r="N391" s="22"/>
      <c r="X391" s="17"/>
    </row>
    <row r="392" spans="10:24" ht="12.75" x14ac:dyDescent="0.2">
      <c r="J392" s="22"/>
      <c r="N392" s="22"/>
      <c r="X392" s="17"/>
    </row>
    <row r="393" spans="10:24" ht="12.75" x14ac:dyDescent="0.2">
      <c r="J393" s="22"/>
      <c r="N393" s="22"/>
      <c r="X393" s="17"/>
    </row>
    <row r="394" spans="10:24" ht="12.75" x14ac:dyDescent="0.2">
      <c r="J394" s="22"/>
      <c r="N394" s="22"/>
      <c r="X394" s="17"/>
    </row>
    <row r="395" spans="10:24" ht="12.75" x14ac:dyDescent="0.2">
      <c r="J395" s="22"/>
      <c r="N395" s="22"/>
      <c r="X395" s="17"/>
    </row>
    <row r="396" spans="10:24" ht="12.75" x14ac:dyDescent="0.2">
      <c r="J396" s="22"/>
      <c r="N396" s="22"/>
      <c r="X396" s="17"/>
    </row>
    <row r="397" spans="10:24" ht="12.75" x14ac:dyDescent="0.2">
      <c r="J397" s="22"/>
      <c r="N397" s="22"/>
      <c r="X397" s="17"/>
    </row>
    <row r="398" spans="10:24" ht="12.75" x14ac:dyDescent="0.2">
      <c r="J398" s="22"/>
      <c r="N398" s="22"/>
      <c r="X398" s="17"/>
    </row>
    <row r="399" spans="10:24" ht="12.75" x14ac:dyDescent="0.2">
      <c r="J399" s="22"/>
      <c r="N399" s="22"/>
      <c r="X399" s="17"/>
    </row>
    <row r="400" spans="10:24" ht="12.75" x14ac:dyDescent="0.2">
      <c r="J400" s="22"/>
      <c r="N400" s="22"/>
      <c r="X400" s="17"/>
    </row>
    <row r="401" spans="10:24" ht="12.75" x14ac:dyDescent="0.2">
      <c r="J401" s="22"/>
      <c r="N401" s="22"/>
      <c r="X401" s="17"/>
    </row>
    <row r="402" spans="10:24" ht="12.75" x14ac:dyDescent="0.2">
      <c r="J402" s="22"/>
      <c r="N402" s="22"/>
      <c r="X402" s="17"/>
    </row>
    <row r="403" spans="10:24" ht="12.75" x14ac:dyDescent="0.2">
      <c r="J403" s="22"/>
      <c r="N403" s="22"/>
      <c r="X403" s="17"/>
    </row>
    <row r="404" spans="10:24" ht="12.75" x14ac:dyDescent="0.2">
      <c r="J404" s="22"/>
      <c r="N404" s="22"/>
      <c r="X404" s="17"/>
    </row>
    <row r="405" spans="10:24" ht="12.75" x14ac:dyDescent="0.2">
      <c r="J405" s="22"/>
      <c r="N405" s="22"/>
      <c r="X405" s="17"/>
    </row>
    <row r="406" spans="10:24" ht="12.75" x14ac:dyDescent="0.2">
      <c r="J406" s="22"/>
      <c r="N406" s="22"/>
      <c r="X406" s="17"/>
    </row>
    <row r="407" spans="10:24" ht="12.75" x14ac:dyDescent="0.2">
      <c r="J407" s="22"/>
      <c r="N407" s="22"/>
      <c r="X407" s="17"/>
    </row>
    <row r="408" spans="10:24" ht="12.75" x14ac:dyDescent="0.2">
      <c r="J408" s="22"/>
      <c r="N408" s="22"/>
      <c r="X408" s="17"/>
    </row>
    <row r="409" spans="10:24" ht="12.75" x14ac:dyDescent="0.2">
      <c r="J409" s="22"/>
      <c r="N409" s="22"/>
      <c r="X409" s="17"/>
    </row>
    <row r="410" spans="10:24" ht="12.75" x14ac:dyDescent="0.2">
      <c r="J410" s="22"/>
      <c r="N410" s="22"/>
      <c r="X410" s="17"/>
    </row>
    <row r="411" spans="10:24" ht="12.75" x14ac:dyDescent="0.2">
      <c r="J411" s="22"/>
      <c r="N411" s="22"/>
      <c r="X411" s="17"/>
    </row>
    <row r="412" spans="10:24" ht="12.75" x14ac:dyDescent="0.2">
      <c r="J412" s="22"/>
      <c r="N412" s="22"/>
      <c r="X412" s="17"/>
    </row>
    <row r="413" spans="10:24" ht="12.75" x14ac:dyDescent="0.2">
      <c r="J413" s="22"/>
      <c r="N413" s="22"/>
      <c r="X413" s="17"/>
    </row>
    <row r="414" spans="10:24" ht="12.75" x14ac:dyDescent="0.2">
      <c r="J414" s="22"/>
      <c r="N414" s="22"/>
      <c r="X414" s="17"/>
    </row>
    <row r="415" spans="10:24" ht="12.75" x14ac:dyDescent="0.2">
      <c r="J415" s="22"/>
      <c r="N415" s="22"/>
      <c r="X415" s="17"/>
    </row>
    <row r="416" spans="10:24" ht="12.75" x14ac:dyDescent="0.2">
      <c r="J416" s="22"/>
      <c r="N416" s="22"/>
      <c r="X416" s="17"/>
    </row>
    <row r="417" spans="10:24" ht="12.75" x14ac:dyDescent="0.2">
      <c r="J417" s="22"/>
      <c r="N417" s="22"/>
      <c r="X417" s="17"/>
    </row>
    <row r="418" spans="10:24" ht="12.75" x14ac:dyDescent="0.2">
      <c r="J418" s="22"/>
      <c r="N418" s="22"/>
      <c r="X418" s="17"/>
    </row>
    <row r="419" spans="10:24" ht="12.75" x14ac:dyDescent="0.2">
      <c r="J419" s="22"/>
      <c r="N419" s="22"/>
      <c r="X419" s="17"/>
    </row>
    <row r="420" spans="10:24" ht="12.75" x14ac:dyDescent="0.2">
      <c r="J420" s="22"/>
      <c r="N420" s="22"/>
      <c r="X420" s="17"/>
    </row>
    <row r="421" spans="10:24" ht="12.75" x14ac:dyDescent="0.2">
      <c r="J421" s="22"/>
      <c r="N421" s="22"/>
      <c r="X421" s="17"/>
    </row>
    <row r="422" spans="10:24" ht="12.75" x14ac:dyDescent="0.2">
      <c r="J422" s="22"/>
      <c r="N422" s="22"/>
      <c r="X422" s="17"/>
    </row>
    <row r="423" spans="10:24" ht="12.75" x14ac:dyDescent="0.2">
      <c r="J423" s="22"/>
      <c r="N423" s="22"/>
      <c r="X423" s="17"/>
    </row>
    <row r="424" spans="10:24" ht="12.75" x14ac:dyDescent="0.2">
      <c r="J424" s="22"/>
      <c r="N424" s="22"/>
      <c r="X424" s="17"/>
    </row>
    <row r="425" spans="10:24" ht="12.75" x14ac:dyDescent="0.2">
      <c r="J425" s="22"/>
      <c r="N425" s="22"/>
      <c r="X425" s="17"/>
    </row>
    <row r="426" spans="10:24" ht="12.75" x14ac:dyDescent="0.2">
      <c r="J426" s="22"/>
      <c r="N426" s="22"/>
      <c r="X426" s="17"/>
    </row>
    <row r="427" spans="10:24" ht="12.75" x14ac:dyDescent="0.2">
      <c r="J427" s="22"/>
      <c r="N427" s="22"/>
      <c r="X427" s="17"/>
    </row>
    <row r="428" spans="10:24" ht="12.75" x14ac:dyDescent="0.2">
      <c r="J428" s="22"/>
      <c r="N428" s="22"/>
      <c r="X428" s="17"/>
    </row>
    <row r="429" spans="10:24" ht="12.75" x14ac:dyDescent="0.2">
      <c r="J429" s="22"/>
      <c r="N429" s="22"/>
      <c r="X429" s="17"/>
    </row>
    <row r="430" spans="10:24" ht="12.75" x14ac:dyDescent="0.2">
      <c r="J430" s="22"/>
      <c r="N430" s="22"/>
      <c r="X430" s="17"/>
    </row>
    <row r="431" spans="10:24" ht="12.75" x14ac:dyDescent="0.2">
      <c r="J431" s="22"/>
      <c r="N431" s="22"/>
      <c r="X431" s="17"/>
    </row>
    <row r="432" spans="10:24" ht="12.75" x14ac:dyDescent="0.2">
      <c r="J432" s="22"/>
      <c r="N432" s="22"/>
      <c r="X432" s="17"/>
    </row>
    <row r="433" spans="10:24" ht="12.75" x14ac:dyDescent="0.2">
      <c r="J433" s="22"/>
      <c r="N433" s="22"/>
      <c r="X433" s="17"/>
    </row>
    <row r="434" spans="10:24" ht="12.75" x14ac:dyDescent="0.2">
      <c r="J434" s="22"/>
      <c r="N434" s="22"/>
      <c r="X434" s="17"/>
    </row>
    <row r="435" spans="10:24" ht="12.75" x14ac:dyDescent="0.2">
      <c r="J435" s="22"/>
      <c r="N435" s="22"/>
      <c r="X435" s="17"/>
    </row>
    <row r="436" spans="10:24" ht="12.75" x14ac:dyDescent="0.2">
      <c r="J436" s="22"/>
      <c r="N436" s="22"/>
      <c r="X436" s="17"/>
    </row>
    <row r="437" spans="10:24" ht="12.75" x14ac:dyDescent="0.2">
      <c r="J437" s="22"/>
      <c r="N437" s="22"/>
      <c r="X437" s="17"/>
    </row>
    <row r="438" spans="10:24" ht="12.75" x14ac:dyDescent="0.2">
      <c r="J438" s="22"/>
      <c r="N438" s="22"/>
      <c r="X438" s="17"/>
    </row>
    <row r="439" spans="10:24" ht="12.75" x14ac:dyDescent="0.2">
      <c r="J439" s="22"/>
      <c r="N439" s="22"/>
      <c r="X439" s="17"/>
    </row>
    <row r="440" spans="10:24" ht="12.75" x14ac:dyDescent="0.2">
      <c r="J440" s="22"/>
      <c r="N440" s="22"/>
      <c r="X440" s="17"/>
    </row>
    <row r="441" spans="10:24" ht="12.75" x14ac:dyDescent="0.2">
      <c r="J441" s="22"/>
      <c r="N441" s="22"/>
      <c r="X441" s="17"/>
    </row>
    <row r="442" spans="10:24" ht="12.75" x14ac:dyDescent="0.2">
      <c r="J442" s="22"/>
      <c r="N442" s="22"/>
      <c r="X442" s="17"/>
    </row>
    <row r="443" spans="10:24" ht="12.75" x14ac:dyDescent="0.2">
      <c r="J443" s="22"/>
      <c r="N443" s="22"/>
      <c r="X443" s="17"/>
    </row>
    <row r="444" spans="10:24" ht="12.75" x14ac:dyDescent="0.2">
      <c r="J444" s="22"/>
      <c r="N444" s="22"/>
      <c r="X444" s="17"/>
    </row>
    <row r="445" spans="10:24" ht="12.75" x14ac:dyDescent="0.2">
      <c r="J445" s="22"/>
      <c r="N445" s="22"/>
      <c r="X445" s="17"/>
    </row>
    <row r="446" spans="10:24" ht="12.75" x14ac:dyDescent="0.2">
      <c r="J446" s="22"/>
      <c r="N446" s="22"/>
      <c r="X446" s="17"/>
    </row>
    <row r="447" spans="10:24" ht="12.75" x14ac:dyDescent="0.2">
      <c r="J447" s="22"/>
      <c r="N447" s="22"/>
      <c r="X447" s="17"/>
    </row>
    <row r="448" spans="10:24" ht="12.75" x14ac:dyDescent="0.2">
      <c r="J448" s="22"/>
      <c r="N448" s="22"/>
      <c r="X448" s="17"/>
    </row>
    <row r="449" spans="10:24" ht="12.75" x14ac:dyDescent="0.2">
      <c r="J449" s="22"/>
      <c r="N449" s="22"/>
      <c r="X449" s="17"/>
    </row>
    <row r="450" spans="10:24" ht="12.75" x14ac:dyDescent="0.2">
      <c r="J450" s="22"/>
      <c r="N450" s="22"/>
      <c r="X450" s="17"/>
    </row>
    <row r="451" spans="10:24" ht="12.75" x14ac:dyDescent="0.2">
      <c r="J451" s="22"/>
      <c r="N451" s="22"/>
      <c r="X451" s="17"/>
    </row>
    <row r="452" spans="10:24" ht="12.75" x14ac:dyDescent="0.2">
      <c r="J452" s="22"/>
      <c r="N452" s="22"/>
      <c r="X452" s="17"/>
    </row>
    <row r="453" spans="10:24" ht="12.75" x14ac:dyDescent="0.2">
      <c r="J453" s="22"/>
      <c r="N453" s="22"/>
      <c r="X453" s="17"/>
    </row>
    <row r="454" spans="10:24" ht="12.75" x14ac:dyDescent="0.2">
      <c r="J454" s="22"/>
      <c r="N454" s="22"/>
      <c r="X454" s="17"/>
    </row>
    <row r="455" spans="10:24" ht="12.75" x14ac:dyDescent="0.2">
      <c r="J455" s="22"/>
      <c r="N455" s="22"/>
      <c r="X455" s="17"/>
    </row>
    <row r="456" spans="10:24" ht="12.75" x14ac:dyDescent="0.2">
      <c r="J456" s="22"/>
      <c r="N456" s="22"/>
      <c r="X456" s="17"/>
    </row>
    <row r="457" spans="10:24" ht="12.75" x14ac:dyDescent="0.2">
      <c r="J457" s="22"/>
      <c r="N457" s="22"/>
      <c r="X457" s="17"/>
    </row>
    <row r="458" spans="10:24" ht="12.75" x14ac:dyDescent="0.2">
      <c r="J458" s="22"/>
      <c r="N458" s="22"/>
      <c r="X458" s="17"/>
    </row>
    <row r="459" spans="10:24" ht="12.75" x14ac:dyDescent="0.2">
      <c r="J459" s="22"/>
      <c r="N459" s="22"/>
      <c r="X459" s="17"/>
    </row>
    <row r="460" spans="10:24" ht="12.75" x14ac:dyDescent="0.2">
      <c r="J460" s="22"/>
      <c r="N460" s="22"/>
      <c r="X460" s="17"/>
    </row>
    <row r="461" spans="10:24" ht="12.75" x14ac:dyDescent="0.2">
      <c r="J461" s="22"/>
      <c r="N461" s="22"/>
      <c r="X461" s="17"/>
    </row>
    <row r="462" spans="10:24" ht="12.75" x14ac:dyDescent="0.2">
      <c r="J462" s="22"/>
      <c r="N462" s="22"/>
      <c r="X462" s="17"/>
    </row>
    <row r="463" spans="10:24" ht="12.75" x14ac:dyDescent="0.2">
      <c r="J463" s="22"/>
      <c r="N463" s="22"/>
      <c r="X463" s="17"/>
    </row>
    <row r="464" spans="10:24" ht="12.75" x14ac:dyDescent="0.2">
      <c r="J464" s="22"/>
      <c r="N464" s="22"/>
      <c r="X464" s="17"/>
    </row>
    <row r="465" spans="10:24" ht="12.75" x14ac:dyDescent="0.2">
      <c r="J465" s="22"/>
      <c r="N465" s="22"/>
      <c r="X465" s="17"/>
    </row>
    <row r="466" spans="10:24" ht="12.75" x14ac:dyDescent="0.2">
      <c r="J466" s="22"/>
      <c r="N466" s="22"/>
      <c r="X466" s="17"/>
    </row>
    <row r="467" spans="10:24" ht="12.75" x14ac:dyDescent="0.2">
      <c r="J467" s="22"/>
      <c r="N467" s="22"/>
      <c r="X467" s="17"/>
    </row>
    <row r="468" spans="10:24" ht="12.75" x14ac:dyDescent="0.2">
      <c r="J468" s="22"/>
      <c r="N468" s="22"/>
      <c r="X468" s="17"/>
    </row>
    <row r="469" spans="10:24" ht="12.75" x14ac:dyDescent="0.2">
      <c r="J469" s="22"/>
      <c r="N469" s="22"/>
      <c r="X469" s="17"/>
    </row>
    <row r="470" spans="10:24" ht="12.75" x14ac:dyDescent="0.2">
      <c r="J470" s="22"/>
      <c r="N470" s="22"/>
      <c r="X470" s="17"/>
    </row>
    <row r="471" spans="10:24" ht="12.75" x14ac:dyDescent="0.2">
      <c r="J471" s="22"/>
      <c r="N471" s="22"/>
      <c r="X471" s="17"/>
    </row>
    <row r="472" spans="10:24" ht="12.75" x14ac:dyDescent="0.2">
      <c r="J472" s="22"/>
      <c r="N472" s="22"/>
      <c r="X472" s="17"/>
    </row>
    <row r="473" spans="10:24" ht="12.75" x14ac:dyDescent="0.2">
      <c r="J473" s="22"/>
      <c r="N473" s="22"/>
      <c r="X473" s="17"/>
    </row>
    <row r="474" spans="10:24" ht="12.75" x14ac:dyDescent="0.2">
      <c r="J474" s="22"/>
      <c r="N474" s="22"/>
      <c r="X474" s="17"/>
    </row>
    <row r="475" spans="10:24" ht="12.75" x14ac:dyDescent="0.2">
      <c r="J475" s="22"/>
      <c r="N475" s="22"/>
      <c r="X475" s="17"/>
    </row>
    <row r="476" spans="10:24" ht="12.75" x14ac:dyDescent="0.2">
      <c r="J476" s="22"/>
      <c r="N476" s="22"/>
      <c r="X476" s="17"/>
    </row>
    <row r="477" spans="10:24" ht="12.75" x14ac:dyDescent="0.2">
      <c r="J477" s="22"/>
      <c r="N477" s="22"/>
      <c r="X477" s="17"/>
    </row>
    <row r="478" spans="10:24" ht="12.75" x14ac:dyDescent="0.2">
      <c r="J478" s="22"/>
      <c r="N478" s="22"/>
      <c r="X478" s="17"/>
    </row>
    <row r="479" spans="10:24" ht="12.75" x14ac:dyDescent="0.2">
      <c r="J479" s="22"/>
      <c r="N479" s="22"/>
      <c r="X479" s="17"/>
    </row>
    <row r="480" spans="10:24" ht="12.75" x14ac:dyDescent="0.2">
      <c r="J480" s="22"/>
      <c r="N480" s="22"/>
      <c r="X480" s="17"/>
    </row>
    <row r="481" spans="10:24" ht="12.75" x14ac:dyDescent="0.2">
      <c r="J481" s="22"/>
      <c r="N481" s="22"/>
      <c r="X481" s="17"/>
    </row>
    <row r="482" spans="10:24" ht="12.75" x14ac:dyDescent="0.2">
      <c r="J482" s="22"/>
      <c r="N482" s="22"/>
      <c r="X482" s="17"/>
    </row>
    <row r="483" spans="10:24" ht="12.75" x14ac:dyDescent="0.2">
      <c r="J483" s="22"/>
      <c r="N483" s="22"/>
      <c r="X483" s="17"/>
    </row>
    <row r="484" spans="10:24" ht="12.75" x14ac:dyDescent="0.2">
      <c r="J484" s="22"/>
      <c r="N484" s="22"/>
      <c r="X484" s="17"/>
    </row>
    <row r="485" spans="10:24" ht="12.75" x14ac:dyDescent="0.2">
      <c r="J485" s="22"/>
      <c r="N485" s="22"/>
      <c r="X485" s="17"/>
    </row>
    <row r="486" spans="10:24" ht="12.75" x14ac:dyDescent="0.2">
      <c r="J486" s="22"/>
      <c r="N486" s="22"/>
      <c r="X486" s="17"/>
    </row>
    <row r="487" spans="10:24" ht="12.75" x14ac:dyDescent="0.2">
      <c r="J487" s="22"/>
      <c r="N487" s="22"/>
      <c r="X487" s="17"/>
    </row>
    <row r="488" spans="10:24" ht="12.75" x14ac:dyDescent="0.2">
      <c r="J488" s="22"/>
      <c r="N488" s="22"/>
      <c r="X488" s="17"/>
    </row>
    <row r="489" spans="10:24" ht="12.75" x14ac:dyDescent="0.2">
      <c r="J489" s="22"/>
      <c r="N489" s="22"/>
      <c r="X489" s="17"/>
    </row>
    <row r="490" spans="10:24" ht="12.75" x14ac:dyDescent="0.2">
      <c r="J490" s="22"/>
      <c r="N490" s="22"/>
      <c r="X490" s="17"/>
    </row>
    <row r="491" spans="10:24" ht="12.75" x14ac:dyDescent="0.2">
      <c r="J491" s="22"/>
      <c r="N491" s="22"/>
      <c r="X491" s="17"/>
    </row>
    <row r="492" spans="10:24" ht="12.75" x14ac:dyDescent="0.2">
      <c r="J492" s="22"/>
      <c r="N492" s="22"/>
      <c r="X492" s="17"/>
    </row>
    <row r="493" spans="10:24" ht="12.75" x14ac:dyDescent="0.2">
      <c r="J493" s="22"/>
      <c r="N493" s="22"/>
      <c r="X493" s="17"/>
    </row>
    <row r="494" spans="10:24" ht="12.75" x14ac:dyDescent="0.2">
      <c r="J494" s="22"/>
      <c r="N494" s="22"/>
      <c r="X494" s="17"/>
    </row>
    <row r="495" spans="10:24" ht="12.75" x14ac:dyDescent="0.2">
      <c r="J495" s="22"/>
      <c r="N495" s="22"/>
      <c r="X495" s="17"/>
    </row>
    <row r="496" spans="10:24" ht="12.75" x14ac:dyDescent="0.2">
      <c r="J496" s="22"/>
      <c r="N496" s="22"/>
      <c r="X496" s="17"/>
    </row>
    <row r="497" spans="10:24" ht="12.75" x14ac:dyDescent="0.2">
      <c r="J497" s="22"/>
      <c r="N497" s="22"/>
      <c r="X497" s="17"/>
    </row>
    <row r="498" spans="10:24" ht="12.75" x14ac:dyDescent="0.2">
      <c r="J498" s="22"/>
      <c r="N498" s="22"/>
      <c r="X498" s="17"/>
    </row>
    <row r="499" spans="10:24" ht="12.75" x14ac:dyDescent="0.2">
      <c r="J499" s="22"/>
      <c r="N499" s="22"/>
      <c r="X499" s="17"/>
    </row>
    <row r="500" spans="10:24" ht="12.75" x14ac:dyDescent="0.2">
      <c r="J500" s="22"/>
      <c r="N500" s="22"/>
      <c r="X500" s="17"/>
    </row>
    <row r="501" spans="10:24" ht="12.75" x14ac:dyDescent="0.2">
      <c r="J501" s="22"/>
      <c r="N501" s="22"/>
      <c r="X501" s="17"/>
    </row>
    <row r="502" spans="10:24" ht="12.75" x14ac:dyDescent="0.2">
      <c r="J502" s="22"/>
      <c r="N502" s="22"/>
      <c r="X502" s="17"/>
    </row>
    <row r="503" spans="10:24" ht="12.75" x14ac:dyDescent="0.2">
      <c r="J503" s="22"/>
      <c r="N503" s="22"/>
      <c r="X503" s="17"/>
    </row>
    <row r="504" spans="10:24" ht="12.75" x14ac:dyDescent="0.2">
      <c r="J504" s="22"/>
      <c r="N504" s="22"/>
      <c r="X504" s="17"/>
    </row>
    <row r="505" spans="10:24" ht="12.75" x14ac:dyDescent="0.2">
      <c r="J505" s="22"/>
      <c r="N505" s="22"/>
      <c r="X505" s="17"/>
    </row>
    <row r="506" spans="10:24" ht="12.75" x14ac:dyDescent="0.2">
      <c r="J506" s="22"/>
      <c r="N506" s="22"/>
      <c r="X506" s="17"/>
    </row>
    <row r="507" spans="10:24" ht="12.75" x14ac:dyDescent="0.2">
      <c r="J507" s="22"/>
      <c r="N507" s="22"/>
      <c r="X507" s="17"/>
    </row>
    <row r="508" spans="10:24" ht="12.75" x14ac:dyDescent="0.2">
      <c r="J508" s="22"/>
      <c r="N508" s="22"/>
      <c r="X508" s="17"/>
    </row>
    <row r="509" spans="10:24" ht="12.75" x14ac:dyDescent="0.2">
      <c r="J509" s="22"/>
      <c r="N509" s="22"/>
      <c r="X509" s="17"/>
    </row>
    <row r="510" spans="10:24" ht="12.75" x14ac:dyDescent="0.2">
      <c r="J510" s="22"/>
      <c r="N510" s="22"/>
      <c r="X510" s="17"/>
    </row>
    <row r="511" spans="10:24" ht="12.75" x14ac:dyDescent="0.2">
      <c r="J511" s="22"/>
      <c r="N511" s="22"/>
      <c r="X511" s="17"/>
    </row>
    <row r="512" spans="10:24" ht="12.75" x14ac:dyDescent="0.2">
      <c r="J512" s="22"/>
      <c r="N512" s="22"/>
      <c r="X512" s="17"/>
    </row>
    <row r="513" spans="10:24" ht="12.75" x14ac:dyDescent="0.2">
      <c r="J513" s="22"/>
      <c r="N513" s="22"/>
      <c r="X513" s="17"/>
    </row>
    <row r="514" spans="10:24" ht="12.75" x14ac:dyDescent="0.2">
      <c r="J514" s="22"/>
      <c r="N514" s="22"/>
      <c r="X514" s="17"/>
    </row>
    <row r="515" spans="10:24" ht="12.75" x14ac:dyDescent="0.2">
      <c r="J515" s="22"/>
      <c r="N515" s="22"/>
      <c r="X515" s="17"/>
    </row>
    <row r="516" spans="10:24" ht="12.75" x14ac:dyDescent="0.2">
      <c r="J516" s="22"/>
      <c r="N516" s="22"/>
      <c r="X516" s="17"/>
    </row>
    <row r="517" spans="10:24" ht="12.75" x14ac:dyDescent="0.2">
      <c r="J517" s="22"/>
      <c r="N517" s="22"/>
      <c r="X517" s="17"/>
    </row>
    <row r="518" spans="10:24" ht="12.75" x14ac:dyDescent="0.2">
      <c r="J518" s="22"/>
      <c r="N518" s="22"/>
      <c r="X518" s="17"/>
    </row>
    <row r="519" spans="10:24" ht="12.75" x14ac:dyDescent="0.2">
      <c r="J519" s="22"/>
      <c r="N519" s="22"/>
      <c r="X519" s="17"/>
    </row>
    <row r="520" spans="10:24" ht="12.75" x14ac:dyDescent="0.2">
      <c r="J520" s="22"/>
      <c r="N520" s="22"/>
      <c r="X520" s="17"/>
    </row>
    <row r="521" spans="10:24" ht="12.75" x14ac:dyDescent="0.2">
      <c r="J521" s="22"/>
      <c r="N521" s="22"/>
      <c r="X521" s="17"/>
    </row>
    <row r="522" spans="10:24" ht="12.75" x14ac:dyDescent="0.2">
      <c r="J522" s="22"/>
      <c r="N522" s="22"/>
      <c r="X522" s="17"/>
    </row>
    <row r="523" spans="10:24" ht="12.75" x14ac:dyDescent="0.2">
      <c r="J523" s="22"/>
      <c r="N523" s="22"/>
      <c r="X523" s="17"/>
    </row>
    <row r="524" spans="10:24" ht="12.75" x14ac:dyDescent="0.2">
      <c r="J524" s="22"/>
      <c r="N524" s="22"/>
      <c r="X524" s="17"/>
    </row>
    <row r="525" spans="10:24" ht="12.75" x14ac:dyDescent="0.2">
      <c r="J525" s="22"/>
      <c r="N525" s="22"/>
      <c r="X525" s="17"/>
    </row>
    <row r="526" spans="10:24" ht="12.75" x14ac:dyDescent="0.2">
      <c r="J526" s="22"/>
      <c r="N526" s="22"/>
      <c r="X526" s="17"/>
    </row>
    <row r="527" spans="10:24" ht="12.75" x14ac:dyDescent="0.2">
      <c r="J527" s="22"/>
      <c r="N527" s="22"/>
      <c r="X527" s="17"/>
    </row>
    <row r="528" spans="10:24" ht="12.75" x14ac:dyDescent="0.2">
      <c r="J528" s="22"/>
      <c r="N528" s="22"/>
      <c r="X528" s="17"/>
    </row>
    <row r="529" spans="10:24" ht="12.75" x14ac:dyDescent="0.2">
      <c r="J529" s="22"/>
      <c r="N529" s="22"/>
      <c r="X529" s="17"/>
    </row>
    <row r="530" spans="10:24" ht="12.75" x14ac:dyDescent="0.2">
      <c r="J530" s="22"/>
      <c r="N530" s="22"/>
      <c r="X530" s="17"/>
    </row>
    <row r="531" spans="10:24" ht="12.75" x14ac:dyDescent="0.2">
      <c r="J531" s="22"/>
      <c r="N531" s="22"/>
      <c r="X531" s="17"/>
    </row>
    <row r="532" spans="10:24" ht="12.75" x14ac:dyDescent="0.2">
      <c r="J532" s="22"/>
      <c r="N532" s="22"/>
      <c r="X532" s="17"/>
    </row>
    <row r="533" spans="10:24" ht="12.75" x14ac:dyDescent="0.2">
      <c r="J533" s="22"/>
      <c r="N533" s="22"/>
      <c r="X533" s="17"/>
    </row>
    <row r="534" spans="10:24" ht="12.75" x14ac:dyDescent="0.2">
      <c r="J534" s="22"/>
      <c r="N534" s="22"/>
      <c r="X534" s="17"/>
    </row>
    <row r="535" spans="10:24" ht="12.75" x14ac:dyDescent="0.2">
      <c r="J535" s="22"/>
      <c r="N535" s="22"/>
      <c r="X535" s="17"/>
    </row>
    <row r="536" spans="10:24" ht="12.75" x14ac:dyDescent="0.2">
      <c r="J536" s="22"/>
      <c r="N536" s="22"/>
      <c r="X536" s="17"/>
    </row>
    <row r="537" spans="10:24" ht="12.75" x14ac:dyDescent="0.2">
      <c r="J537" s="22"/>
      <c r="N537" s="22"/>
      <c r="X537" s="17"/>
    </row>
    <row r="538" spans="10:24" ht="12.75" x14ac:dyDescent="0.2">
      <c r="J538" s="22"/>
      <c r="N538" s="22"/>
      <c r="X538" s="17"/>
    </row>
    <row r="539" spans="10:24" ht="12.75" x14ac:dyDescent="0.2">
      <c r="J539" s="22"/>
      <c r="N539" s="22"/>
      <c r="X539" s="17"/>
    </row>
    <row r="540" spans="10:24" ht="12.75" x14ac:dyDescent="0.2">
      <c r="J540" s="22"/>
      <c r="N540" s="22"/>
      <c r="X540" s="17"/>
    </row>
    <row r="541" spans="10:24" ht="12.75" x14ac:dyDescent="0.2">
      <c r="J541" s="22"/>
      <c r="N541" s="22"/>
      <c r="X541" s="17"/>
    </row>
    <row r="542" spans="10:24" ht="12.75" x14ac:dyDescent="0.2">
      <c r="J542" s="22"/>
      <c r="N542" s="22"/>
      <c r="X542" s="17"/>
    </row>
    <row r="543" spans="10:24" ht="12.75" x14ac:dyDescent="0.2">
      <c r="J543" s="22"/>
      <c r="N543" s="22"/>
      <c r="X543" s="17"/>
    </row>
    <row r="544" spans="10:24" ht="12.75" x14ac:dyDescent="0.2">
      <c r="J544" s="22"/>
      <c r="N544" s="22"/>
      <c r="X544" s="17"/>
    </row>
    <row r="545" spans="10:24" ht="12.75" x14ac:dyDescent="0.2">
      <c r="J545" s="22"/>
      <c r="N545" s="22"/>
      <c r="X545" s="17"/>
    </row>
    <row r="546" spans="10:24" ht="12.75" x14ac:dyDescent="0.2">
      <c r="J546" s="22"/>
      <c r="N546" s="22"/>
      <c r="X546" s="17"/>
    </row>
    <row r="547" spans="10:24" ht="12.75" x14ac:dyDescent="0.2">
      <c r="J547" s="22"/>
      <c r="N547" s="22"/>
      <c r="X547" s="17"/>
    </row>
    <row r="548" spans="10:24" ht="12.75" x14ac:dyDescent="0.2">
      <c r="J548" s="22"/>
      <c r="N548" s="22"/>
      <c r="X548" s="17"/>
    </row>
    <row r="549" spans="10:24" ht="12.75" x14ac:dyDescent="0.2">
      <c r="J549" s="22"/>
      <c r="N549" s="22"/>
      <c r="X549" s="17"/>
    </row>
    <row r="550" spans="10:24" ht="12.75" x14ac:dyDescent="0.2">
      <c r="J550" s="22"/>
      <c r="N550" s="22"/>
      <c r="X550" s="17"/>
    </row>
    <row r="551" spans="10:24" ht="12.75" x14ac:dyDescent="0.2">
      <c r="J551" s="22"/>
      <c r="N551" s="22"/>
      <c r="X551" s="17"/>
    </row>
    <row r="552" spans="10:24" ht="12.75" x14ac:dyDescent="0.2">
      <c r="J552" s="22"/>
      <c r="N552" s="22"/>
      <c r="X552" s="17"/>
    </row>
    <row r="553" spans="10:24" ht="12.75" x14ac:dyDescent="0.2">
      <c r="J553" s="22"/>
      <c r="N553" s="22"/>
      <c r="X553" s="17"/>
    </row>
    <row r="554" spans="10:24" ht="12.75" x14ac:dyDescent="0.2">
      <c r="J554" s="22"/>
      <c r="N554" s="22"/>
      <c r="X554" s="17"/>
    </row>
    <row r="555" spans="10:24" ht="12.75" x14ac:dyDescent="0.2">
      <c r="J555" s="22"/>
      <c r="N555" s="22"/>
      <c r="X555" s="17"/>
    </row>
    <row r="556" spans="10:24" ht="12.75" x14ac:dyDescent="0.2">
      <c r="J556" s="22"/>
      <c r="N556" s="22"/>
      <c r="X556" s="17"/>
    </row>
    <row r="557" spans="10:24" ht="12.75" x14ac:dyDescent="0.2">
      <c r="J557" s="22"/>
      <c r="N557" s="22"/>
      <c r="X557" s="17"/>
    </row>
    <row r="558" spans="10:24" ht="12.75" x14ac:dyDescent="0.2">
      <c r="J558" s="22"/>
      <c r="N558" s="22"/>
      <c r="X558" s="17"/>
    </row>
    <row r="559" spans="10:24" ht="12.75" x14ac:dyDescent="0.2">
      <c r="J559" s="22"/>
      <c r="N559" s="22"/>
      <c r="X559" s="17"/>
    </row>
    <row r="560" spans="10:24" ht="12.75" x14ac:dyDescent="0.2">
      <c r="J560" s="22"/>
      <c r="N560" s="22"/>
      <c r="X560" s="17"/>
    </row>
    <row r="561" spans="10:24" ht="12.75" x14ac:dyDescent="0.2">
      <c r="J561" s="22"/>
      <c r="N561" s="22"/>
      <c r="X561" s="17"/>
    </row>
    <row r="562" spans="10:24" ht="12.75" x14ac:dyDescent="0.2">
      <c r="J562" s="22"/>
      <c r="N562" s="22"/>
      <c r="X562" s="17"/>
    </row>
    <row r="563" spans="10:24" ht="12.75" x14ac:dyDescent="0.2">
      <c r="J563" s="22"/>
      <c r="N563" s="22"/>
      <c r="X563" s="17"/>
    </row>
    <row r="564" spans="10:24" ht="12.75" x14ac:dyDescent="0.2">
      <c r="J564" s="22"/>
      <c r="N564" s="22"/>
      <c r="X564" s="17"/>
    </row>
    <row r="565" spans="10:24" ht="12.75" x14ac:dyDescent="0.2">
      <c r="J565" s="22"/>
      <c r="N565" s="22"/>
      <c r="X565" s="17"/>
    </row>
    <row r="566" spans="10:24" ht="12.75" x14ac:dyDescent="0.2">
      <c r="J566" s="22"/>
      <c r="N566" s="22"/>
      <c r="X566" s="17"/>
    </row>
    <row r="567" spans="10:24" ht="12.75" x14ac:dyDescent="0.2">
      <c r="J567" s="22"/>
      <c r="N567" s="22"/>
      <c r="X567" s="17"/>
    </row>
    <row r="568" spans="10:24" ht="12.75" x14ac:dyDescent="0.2">
      <c r="J568" s="22"/>
      <c r="N568" s="22"/>
      <c r="X568" s="17"/>
    </row>
    <row r="569" spans="10:24" ht="12.75" x14ac:dyDescent="0.2">
      <c r="J569" s="22"/>
      <c r="N569" s="22"/>
      <c r="X569" s="17"/>
    </row>
    <row r="570" spans="10:24" ht="12.75" x14ac:dyDescent="0.2">
      <c r="J570" s="22"/>
      <c r="N570" s="22"/>
      <c r="X570" s="17"/>
    </row>
    <row r="571" spans="10:24" ht="12.75" x14ac:dyDescent="0.2">
      <c r="J571" s="22"/>
      <c r="N571" s="22"/>
      <c r="X571" s="17"/>
    </row>
    <row r="572" spans="10:24" ht="12.75" x14ac:dyDescent="0.2">
      <c r="J572" s="22"/>
      <c r="N572" s="22"/>
      <c r="X572" s="17"/>
    </row>
    <row r="573" spans="10:24" ht="12.75" x14ac:dyDescent="0.2">
      <c r="J573" s="22"/>
      <c r="N573" s="22"/>
      <c r="X573" s="17"/>
    </row>
    <row r="574" spans="10:24" ht="12.75" x14ac:dyDescent="0.2">
      <c r="J574" s="22"/>
      <c r="N574" s="22"/>
      <c r="X574" s="17"/>
    </row>
    <row r="575" spans="10:24" ht="12.75" x14ac:dyDescent="0.2">
      <c r="J575" s="22"/>
      <c r="N575" s="22"/>
      <c r="X575" s="17"/>
    </row>
    <row r="576" spans="10:24" ht="12.75" x14ac:dyDescent="0.2">
      <c r="J576" s="22"/>
      <c r="N576" s="22"/>
      <c r="X576" s="17"/>
    </row>
    <row r="577" spans="10:24" ht="12.75" x14ac:dyDescent="0.2">
      <c r="J577" s="22"/>
      <c r="N577" s="22"/>
      <c r="X577" s="17"/>
    </row>
    <row r="578" spans="10:24" ht="12.75" x14ac:dyDescent="0.2">
      <c r="J578" s="22"/>
      <c r="N578" s="22"/>
      <c r="X578" s="17"/>
    </row>
    <row r="579" spans="10:24" ht="12.75" x14ac:dyDescent="0.2">
      <c r="J579" s="22"/>
      <c r="N579" s="22"/>
      <c r="X579" s="17"/>
    </row>
    <row r="580" spans="10:24" ht="12.75" x14ac:dyDescent="0.2">
      <c r="J580" s="22"/>
      <c r="N580" s="22"/>
      <c r="X580" s="17"/>
    </row>
    <row r="581" spans="10:24" ht="12.75" x14ac:dyDescent="0.2">
      <c r="J581" s="22"/>
      <c r="N581" s="22"/>
      <c r="X581" s="17"/>
    </row>
    <row r="582" spans="10:24" ht="12.75" x14ac:dyDescent="0.2">
      <c r="J582" s="22"/>
      <c r="N582" s="22"/>
      <c r="X582" s="17"/>
    </row>
    <row r="583" spans="10:24" ht="12.75" x14ac:dyDescent="0.2">
      <c r="J583" s="22"/>
      <c r="N583" s="22"/>
      <c r="X583" s="17"/>
    </row>
    <row r="584" spans="10:24" ht="12.75" x14ac:dyDescent="0.2">
      <c r="J584" s="22"/>
      <c r="N584" s="22"/>
      <c r="X584" s="17"/>
    </row>
    <row r="585" spans="10:24" ht="12.75" x14ac:dyDescent="0.2">
      <c r="J585" s="22"/>
      <c r="N585" s="22"/>
      <c r="X585" s="17"/>
    </row>
    <row r="586" spans="10:24" ht="12.75" x14ac:dyDescent="0.2">
      <c r="J586" s="22"/>
      <c r="N586" s="22"/>
      <c r="X586" s="17"/>
    </row>
    <row r="587" spans="10:24" ht="12.75" x14ac:dyDescent="0.2">
      <c r="J587" s="22"/>
      <c r="N587" s="22"/>
      <c r="X587" s="17"/>
    </row>
    <row r="588" spans="10:24" ht="12.75" x14ac:dyDescent="0.2">
      <c r="J588" s="22"/>
      <c r="N588" s="22"/>
      <c r="X588" s="17"/>
    </row>
    <row r="589" spans="10:24" ht="12.75" x14ac:dyDescent="0.2">
      <c r="J589" s="22"/>
      <c r="N589" s="22"/>
      <c r="X589" s="17"/>
    </row>
    <row r="590" spans="10:24" ht="12.75" x14ac:dyDescent="0.2">
      <c r="J590" s="22"/>
      <c r="N590" s="22"/>
      <c r="X590" s="17"/>
    </row>
    <row r="591" spans="10:24" ht="12.75" x14ac:dyDescent="0.2">
      <c r="J591" s="22"/>
      <c r="N591" s="22"/>
      <c r="X591" s="17"/>
    </row>
    <row r="592" spans="10:24" ht="12.75" x14ac:dyDescent="0.2">
      <c r="J592" s="22"/>
      <c r="N592" s="22"/>
      <c r="X592" s="17"/>
    </row>
    <row r="593" spans="10:24" ht="12.75" x14ac:dyDescent="0.2">
      <c r="J593" s="22"/>
      <c r="N593" s="22"/>
      <c r="X593" s="17"/>
    </row>
    <row r="594" spans="10:24" ht="12.75" x14ac:dyDescent="0.2">
      <c r="J594" s="22"/>
      <c r="N594" s="22"/>
      <c r="X594" s="17"/>
    </row>
    <row r="595" spans="10:24" ht="12.75" x14ac:dyDescent="0.2">
      <c r="J595" s="22"/>
      <c r="N595" s="22"/>
      <c r="X595" s="17"/>
    </row>
    <row r="596" spans="10:24" ht="12.75" x14ac:dyDescent="0.2">
      <c r="J596" s="22"/>
      <c r="N596" s="22"/>
      <c r="X596" s="17"/>
    </row>
    <row r="597" spans="10:24" ht="12.75" x14ac:dyDescent="0.2">
      <c r="J597" s="22"/>
      <c r="N597" s="22"/>
      <c r="X597" s="17"/>
    </row>
    <row r="598" spans="10:24" ht="12.75" x14ac:dyDescent="0.2">
      <c r="J598" s="22"/>
      <c r="N598" s="22"/>
      <c r="X598" s="17"/>
    </row>
    <row r="599" spans="10:24" ht="12.75" x14ac:dyDescent="0.2">
      <c r="J599" s="22"/>
      <c r="N599" s="22"/>
      <c r="X599" s="17"/>
    </row>
    <row r="600" spans="10:24" ht="12.75" x14ac:dyDescent="0.2">
      <c r="J600" s="22"/>
      <c r="N600" s="22"/>
      <c r="X600" s="17"/>
    </row>
    <row r="601" spans="10:24" ht="12.75" x14ac:dyDescent="0.2">
      <c r="J601" s="22"/>
      <c r="N601" s="22"/>
      <c r="X601" s="17"/>
    </row>
    <row r="602" spans="10:24" ht="12.75" x14ac:dyDescent="0.2">
      <c r="J602" s="22"/>
      <c r="N602" s="22"/>
      <c r="X602" s="17"/>
    </row>
    <row r="603" spans="10:24" ht="12.75" x14ac:dyDescent="0.2">
      <c r="J603" s="22"/>
      <c r="N603" s="22"/>
      <c r="X603" s="17"/>
    </row>
    <row r="604" spans="10:24" ht="12.75" x14ac:dyDescent="0.2">
      <c r="J604" s="22"/>
      <c r="N604" s="22"/>
      <c r="X604" s="17"/>
    </row>
    <row r="605" spans="10:24" ht="12.75" x14ac:dyDescent="0.2">
      <c r="J605" s="22"/>
      <c r="N605" s="22"/>
      <c r="X605" s="17"/>
    </row>
    <row r="606" spans="10:24" ht="12.75" x14ac:dyDescent="0.2">
      <c r="J606" s="22"/>
      <c r="N606" s="22"/>
      <c r="X606" s="17"/>
    </row>
    <row r="607" spans="10:24" ht="12.75" x14ac:dyDescent="0.2">
      <c r="J607" s="22"/>
      <c r="N607" s="22"/>
      <c r="X607" s="17"/>
    </row>
    <row r="608" spans="10:24" ht="12.75" x14ac:dyDescent="0.2">
      <c r="J608" s="22"/>
      <c r="N608" s="22"/>
      <c r="X608" s="17"/>
    </row>
    <row r="609" spans="10:24" ht="12.75" x14ac:dyDescent="0.2">
      <c r="J609" s="22"/>
      <c r="N609" s="22"/>
      <c r="X609" s="17"/>
    </row>
    <row r="610" spans="10:24" ht="12.75" x14ac:dyDescent="0.2">
      <c r="J610" s="22"/>
      <c r="N610" s="22"/>
      <c r="X610" s="17"/>
    </row>
    <row r="611" spans="10:24" ht="12.75" x14ac:dyDescent="0.2">
      <c r="J611" s="22"/>
      <c r="N611" s="22"/>
      <c r="X611" s="17"/>
    </row>
    <row r="612" spans="10:24" ht="12.75" x14ac:dyDescent="0.2">
      <c r="J612" s="22"/>
      <c r="N612" s="22"/>
      <c r="X612" s="17"/>
    </row>
    <row r="613" spans="10:24" ht="12.75" x14ac:dyDescent="0.2">
      <c r="J613" s="22"/>
      <c r="N613" s="22"/>
      <c r="X613" s="17"/>
    </row>
    <row r="614" spans="10:24" ht="12.75" x14ac:dyDescent="0.2">
      <c r="J614" s="22"/>
      <c r="N614" s="22"/>
      <c r="X614" s="17"/>
    </row>
    <row r="615" spans="10:24" ht="12.75" x14ac:dyDescent="0.2">
      <c r="J615" s="22"/>
      <c r="N615" s="22"/>
      <c r="X615" s="17"/>
    </row>
    <row r="616" spans="10:24" ht="12.75" x14ac:dyDescent="0.2">
      <c r="J616" s="22"/>
      <c r="N616" s="22"/>
      <c r="X616" s="17"/>
    </row>
    <row r="617" spans="10:24" ht="12.75" x14ac:dyDescent="0.2">
      <c r="J617" s="22"/>
      <c r="N617" s="22"/>
      <c r="X617" s="17"/>
    </row>
    <row r="618" spans="10:24" ht="12.75" x14ac:dyDescent="0.2">
      <c r="J618" s="22"/>
      <c r="N618" s="22"/>
      <c r="X618" s="17"/>
    </row>
    <row r="619" spans="10:24" ht="12.75" x14ac:dyDescent="0.2">
      <c r="J619" s="22"/>
      <c r="N619" s="22"/>
      <c r="X619" s="17"/>
    </row>
    <row r="620" spans="10:24" ht="12.75" x14ac:dyDescent="0.2">
      <c r="J620" s="22"/>
      <c r="N620" s="22"/>
      <c r="X620" s="17"/>
    </row>
    <row r="621" spans="10:24" ht="12.75" x14ac:dyDescent="0.2">
      <c r="J621" s="22"/>
      <c r="N621" s="22"/>
      <c r="X621" s="17"/>
    </row>
    <row r="622" spans="10:24" ht="12.75" x14ac:dyDescent="0.2">
      <c r="J622" s="22"/>
      <c r="N622" s="22"/>
      <c r="X622" s="17"/>
    </row>
    <row r="623" spans="10:24" ht="12.75" x14ac:dyDescent="0.2">
      <c r="J623" s="22"/>
      <c r="N623" s="22"/>
      <c r="X623" s="17"/>
    </row>
    <row r="624" spans="10:24" ht="12.75" x14ac:dyDescent="0.2">
      <c r="J624" s="22"/>
      <c r="N624" s="22"/>
      <c r="X624" s="17"/>
    </row>
    <row r="625" spans="10:24" ht="12.75" x14ac:dyDescent="0.2">
      <c r="J625" s="22"/>
      <c r="N625" s="22"/>
      <c r="X625" s="17"/>
    </row>
    <row r="626" spans="10:24" ht="12.75" x14ac:dyDescent="0.2">
      <c r="J626" s="22"/>
      <c r="N626" s="22"/>
      <c r="X626" s="17"/>
    </row>
    <row r="627" spans="10:24" ht="12.75" x14ac:dyDescent="0.2">
      <c r="J627" s="22"/>
      <c r="N627" s="22"/>
      <c r="X627" s="17"/>
    </row>
    <row r="628" spans="10:24" ht="12.75" x14ac:dyDescent="0.2">
      <c r="J628" s="22"/>
      <c r="N628" s="22"/>
      <c r="X628" s="17"/>
    </row>
    <row r="629" spans="10:24" ht="12.75" x14ac:dyDescent="0.2">
      <c r="J629" s="22"/>
      <c r="N629" s="22"/>
      <c r="X629" s="17"/>
    </row>
    <row r="630" spans="10:24" ht="12.75" x14ac:dyDescent="0.2">
      <c r="J630" s="22"/>
      <c r="N630" s="22"/>
      <c r="X630" s="17"/>
    </row>
    <row r="631" spans="10:24" ht="12.75" x14ac:dyDescent="0.2">
      <c r="J631" s="22"/>
      <c r="N631" s="22"/>
      <c r="X631" s="17"/>
    </row>
    <row r="632" spans="10:24" ht="12.75" x14ac:dyDescent="0.2">
      <c r="J632" s="22"/>
      <c r="N632" s="22"/>
      <c r="X632" s="17"/>
    </row>
    <row r="633" spans="10:24" ht="12.75" x14ac:dyDescent="0.2">
      <c r="J633" s="22"/>
      <c r="N633" s="22"/>
      <c r="X633" s="17"/>
    </row>
    <row r="634" spans="10:24" ht="12.75" x14ac:dyDescent="0.2">
      <c r="J634" s="22"/>
      <c r="N634" s="22"/>
      <c r="X634" s="17"/>
    </row>
    <row r="635" spans="10:24" ht="12.75" x14ac:dyDescent="0.2">
      <c r="J635" s="22"/>
      <c r="N635" s="22"/>
      <c r="X635" s="17"/>
    </row>
    <row r="636" spans="10:24" ht="12.75" x14ac:dyDescent="0.2">
      <c r="J636" s="22"/>
      <c r="N636" s="22"/>
      <c r="X636" s="17"/>
    </row>
    <row r="637" spans="10:24" ht="12.75" x14ac:dyDescent="0.2">
      <c r="J637" s="22"/>
      <c r="N637" s="22"/>
      <c r="X637" s="17"/>
    </row>
    <row r="638" spans="10:24" ht="12.75" x14ac:dyDescent="0.2">
      <c r="J638" s="22"/>
      <c r="N638" s="22"/>
      <c r="X638" s="17"/>
    </row>
    <row r="639" spans="10:24" ht="12.75" x14ac:dyDescent="0.2">
      <c r="J639" s="22"/>
      <c r="N639" s="22"/>
      <c r="X639" s="17"/>
    </row>
    <row r="640" spans="10:24" ht="12.75" x14ac:dyDescent="0.2">
      <c r="J640" s="22"/>
      <c r="N640" s="22"/>
      <c r="X640" s="17"/>
    </row>
    <row r="641" spans="10:24" ht="12.75" x14ac:dyDescent="0.2">
      <c r="J641" s="22"/>
      <c r="N641" s="22"/>
      <c r="X641" s="17"/>
    </row>
    <row r="642" spans="10:24" ht="12.75" x14ac:dyDescent="0.2">
      <c r="J642" s="22"/>
      <c r="N642" s="22"/>
      <c r="X642" s="17"/>
    </row>
    <row r="643" spans="10:24" ht="12.75" x14ac:dyDescent="0.2">
      <c r="J643" s="22"/>
      <c r="N643" s="22"/>
      <c r="X643" s="17"/>
    </row>
    <row r="644" spans="10:24" ht="12.75" x14ac:dyDescent="0.2">
      <c r="J644" s="22"/>
      <c r="N644" s="22"/>
      <c r="X644" s="17"/>
    </row>
    <row r="645" spans="10:24" ht="12.75" x14ac:dyDescent="0.2">
      <c r="J645" s="22"/>
      <c r="N645" s="22"/>
      <c r="X645" s="17"/>
    </row>
    <row r="646" spans="10:24" ht="12.75" x14ac:dyDescent="0.2">
      <c r="J646" s="22"/>
      <c r="N646" s="22"/>
      <c r="X646" s="17"/>
    </row>
    <row r="647" spans="10:24" ht="12.75" x14ac:dyDescent="0.2">
      <c r="J647" s="22"/>
      <c r="N647" s="22"/>
      <c r="X647" s="17"/>
    </row>
    <row r="648" spans="10:24" ht="12.75" x14ac:dyDescent="0.2">
      <c r="J648" s="22"/>
      <c r="N648" s="22"/>
      <c r="X648" s="17"/>
    </row>
    <row r="649" spans="10:24" ht="12.75" x14ac:dyDescent="0.2">
      <c r="J649" s="22"/>
      <c r="N649" s="22"/>
      <c r="X649" s="17"/>
    </row>
    <row r="650" spans="10:24" ht="12.75" x14ac:dyDescent="0.2">
      <c r="J650" s="22"/>
      <c r="N650" s="22"/>
      <c r="X650" s="17"/>
    </row>
    <row r="651" spans="10:24" ht="12.75" x14ac:dyDescent="0.2">
      <c r="J651" s="22"/>
      <c r="N651" s="22"/>
      <c r="X651" s="17"/>
    </row>
    <row r="652" spans="10:24" ht="12.75" x14ac:dyDescent="0.2">
      <c r="J652" s="22"/>
      <c r="N652" s="22"/>
      <c r="X652" s="17"/>
    </row>
    <row r="653" spans="10:24" ht="12.75" x14ac:dyDescent="0.2">
      <c r="J653" s="22"/>
      <c r="N653" s="22"/>
      <c r="X653" s="17"/>
    </row>
    <row r="654" spans="10:24" ht="12.75" x14ac:dyDescent="0.2">
      <c r="J654" s="22"/>
      <c r="N654" s="22"/>
      <c r="X654" s="17"/>
    </row>
    <row r="655" spans="10:24" ht="12.75" x14ac:dyDescent="0.2">
      <c r="J655" s="22"/>
      <c r="N655" s="22"/>
      <c r="X655" s="17"/>
    </row>
    <row r="656" spans="10:24" ht="12.75" x14ac:dyDescent="0.2">
      <c r="J656" s="22"/>
      <c r="N656" s="22"/>
      <c r="X656" s="17"/>
    </row>
    <row r="657" spans="10:24" ht="12.75" x14ac:dyDescent="0.2">
      <c r="J657" s="22"/>
      <c r="N657" s="22"/>
      <c r="X657" s="17"/>
    </row>
    <row r="658" spans="10:24" ht="12.75" x14ac:dyDescent="0.2">
      <c r="J658" s="22"/>
      <c r="N658" s="22"/>
      <c r="X658" s="17"/>
    </row>
    <row r="659" spans="10:24" ht="12.75" x14ac:dyDescent="0.2">
      <c r="J659" s="22"/>
      <c r="N659" s="22"/>
      <c r="X659" s="17"/>
    </row>
    <row r="660" spans="10:24" ht="12.75" x14ac:dyDescent="0.2">
      <c r="J660" s="22"/>
      <c r="N660" s="22"/>
      <c r="X660" s="17"/>
    </row>
    <row r="661" spans="10:24" ht="12.75" x14ac:dyDescent="0.2">
      <c r="J661" s="22"/>
      <c r="N661" s="22"/>
      <c r="X661" s="17"/>
    </row>
    <row r="662" spans="10:24" ht="12.75" x14ac:dyDescent="0.2">
      <c r="J662" s="22"/>
      <c r="N662" s="22"/>
      <c r="X662" s="17"/>
    </row>
    <row r="663" spans="10:24" ht="12.75" x14ac:dyDescent="0.2">
      <c r="J663" s="22"/>
      <c r="N663" s="22"/>
      <c r="X663" s="17"/>
    </row>
    <row r="664" spans="10:24" ht="12.75" x14ac:dyDescent="0.2">
      <c r="J664" s="22"/>
      <c r="N664" s="22"/>
      <c r="X664" s="17"/>
    </row>
    <row r="665" spans="10:24" ht="12.75" x14ac:dyDescent="0.2">
      <c r="J665" s="22"/>
      <c r="N665" s="22"/>
      <c r="X665" s="17"/>
    </row>
    <row r="666" spans="10:24" ht="12.75" x14ac:dyDescent="0.2">
      <c r="J666" s="22"/>
      <c r="N666" s="22"/>
      <c r="X666" s="17"/>
    </row>
    <row r="667" spans="10:24" ht="12.75" x14ac:dyDescent="0.2">
      <c r="J667" s="22"/>
      <c r="N667" s="22"/>
      <c r="X667" s="17"/>
    </row>
    <row r="668" spans="10:24" ht="12.75" x14ac:dyDescent="0.2">
      <c r="J668" s="22"/>
      <c r="N668" s="22"/>
      <c r="X668" s="17"/>
    </row>
    <row r="669" spans="10:24" ht="12.75" x14ac:dyDescent="0.2">
      <c r="J669" s="22"/>
      <c r="N669" s="22"/>
      <c r="X669" s="17"/>
    </row>
    <row r="670" spans="10:24" ht="12.75" x14ac:dyDescent="0.2">
      <c r="J670" s="22"/>
      <c r="N670" s="22"/>
      <c r="X670" s="17"/>
    </row>
    <row r="671" spans="10:24" ht="12.75" x14ac:dyDescent="0.2">
      <c r="J671" s="22"/>
      <c r="N671" s="22"/>
      <c r="X671" s="17"/>
    </row>
    <row r="672" spans="10:24" ht="12.75" x14ac:dyDescent="0.2">
      <c r="J672" s="22"/>
      <c r="N672" s="22"/>
      <c r="X672" s="17"/>
    </row>
    <row r="673" spans="10:24" ht="12.75" x14ac:dyDescent="0.2">
      <c r="J673" s="22"/>
      <c r="N673" s="22"/>
      <c r="X673" s="17"/>
    </row>
    <row r="674" spans="10:24" ht="12.75" x14ac:dyDescent="0.2">
      <c r="J674" s="22"/>
      <c r="N674" s="22"/>
      <c r="X674" s="17"/>
    </row>
    <row r="675" spans="10:24" ht="12.75" x14ac:dyDescent="0.2">
      <c r="J675" s="22"/>
      <c r="N675" s="22"/>
      <c r="X675" s="17"/>
    </row>
    <row r="676" spans="10:24" ht="12.75" x14ac:dyDescent="0.2">
      <c r="J676" s="22"/>
      <c r="N676" s="22"/>
      <c r="X676" s="17"/>
    </row>
    <row r="677" spans="10:24" ht="12.75" x14ac:dyDescent="0.2">
      <c r="J677" s="22"/>
      <c r="N677" s="22"/>
      <c r="X677" s="17"/>
    </row>
    <row r="678" spans="10:24" ht="12.75" x14ac:dyDescent="0.2">
      <c r="J678" s="22"/>
      <c r="N678" s="22"/>
      <c r="X678" s="17"/>
    </row>
    <row r="679" spans="10:24" ht="12.75" x14ac:dyDescent="0.2">
      <c r="J679" s="22"/>
      <c r="N679" s="22"/>
      <c r="X679" s="17"/>
    </row>
    <row r="680" spans="10:24" ht="12.75" x14ac:dyDescent="0.2">
      <c r="J680" s="22"/>
      <c r="N680" s="22"/>
      <c r="X680" s="17"/>
    </row>
    <row r="681" spans="10:24" ht="12.75" x14ac:dyDescent="0.2">
      <c r="J681" s="22"/>
      <c r="N681" s="22"/>
      <c r="X681" s="17"/>
    </row>
    <row r="682" spans="10:24" ht="12.75" x14ac:dyDescent="0.2">
      <c r="J682" s="22"/>
      <c r="N682" s="22"/>
      <c r="X682" s="17"/>
    </row>
    <row r="683" spans="10:24" ht="12.75" x14ac:dyDescent="0.2">
      <c r="J683" s="22"/>
      <c r="N683" s="22"/>
      <c r="X683" s="17"/>
    </row>
    <row r="684" spans="10:24" ht="12.75" x14ac:dyDescent="0.2">
      <c r="J684" s="22"/>
      <c r="N684" s="22"/>
      <c r="X684" s="17"/>
    </row>
    <row r="685" spans="10:24" ht="12.75" x14ac:dyDescent="0.2">
      <c r="J685" s="22"/>
      <c r="N685" s="22"/>
      <c r="X685" s="17"/>
    </row>
    <row r="686" spans="10:24" ht="12.75" x14ac:dyDescent="0.2">
      <c r="J686" s="22"/>
      <c r="N686" s="22"/>
      <c r="X686" s="17"/>
    </row>
    <row r="687" spans="10:24" ht="12.75" x14ac:dyDescent="0.2">
      <c r="J687" s="22"/>
      <c r="N687" s="22"/>
      <c r="X687" s="17"/>
    </row>
    <row r="688" spans="10:24" ht="12.75" x14ac:dyDescent="0.2">
      <c r="J688" s="22"/>
      <c r="N688" s="22"/>
      <c r="X688" s="17"/>
    </row>
    <row r="689" spans="10:24" ht="12.75" x14ac:dyDescent="0.2">
      <c r="J689" s="22"/>
      <c r="N689" s="22"/>
      <c r="X689" s="17"/>
    </row>
    <row r="690" spans="10:24" ht="12.75" x14ac:dyDescent="0.2">
      <c r="J690" s="22"/>
      <c r="N690" s="22"/>
      <c r="X690" s="17"/>
    </row>
    <row r="691" spans="10:24" ht="12.75" x14ac:dyDescent="0.2">
      <c r="J691" s="22"/>
      <c r="N691" s="22"/>
      <c r="X691" s="17"/>
    </row>
    <row r="692" spans="10:24" ht="12.75" x14ac:dyDescent="0.2">
      <c r="J692" s="22"/>
      <c r="N692" s="22"/>
      <c r="X692" s="17"/>
    </row>
    <row r="693" spans="10:24" ht="12.75" x14ac:dyDescent="0.2">
      <c r="J693" s="22"/>
      <c r="N693" s="22"/>
      <c r="X693" s="17"/>
    </row>
    <row r="694" spans="10:24" ht="12.75" x14ac:dyDescent="0.2">
      <c r="J694" s="22"/>
      <c r="N694" s="22"/>
      <c r="X694" s="17"/>
    </row>
    <row r="695" spans="10:24" ht="12.75" x14ac:dyDescent="0.2">
      <c r="J695" s="22"/>
      <c r="N695" s="22"/>
      <c r="X695" s="17"/>
    </row>
    <row r="696" spans="10:24" ht="12.75" x14ac:dyDescent="0.2">
      <c r="J696" s="22"/>
      <c r="N696" s="22"/>
      <c r="X696" s="17"/>
    </row>
    <row r="697" spans="10:24" ht="12.75" x14ac:dyDescent="0.2">
      <c r="J697" s="22"/>
      <c r="N697" s="22"/>
      <c r="X697" s="17"/>
    </row>
    <row r="698" spans="10:24" ht="12.75" x14ac:dyDescent="0.2">
      <c r="J698" s="22"/>
      <c r="N698" s="22"/>
      <c r="X698" s="17"/>
    </row>
    <row r="699" spans="10:24" ht="12.75" x14ac:dyDescent="0.2">
      <c r="J699" s="22"/>
      <c r="N699" s="22"/>
      <c r="X699" s="17"/>
    </row>
    <row r="700" spans="10:24" ht="12.75" x14ac:dyDescent="0.2">
      <c r="J700" s="22"/>
      <c r="N700" s="22"/>
      <c r="X700" s="17"/>
    </row>
    <row r="701" spans="10:24" ht="12.75" x14ac:dyDescent="0.2">
      <c r="J701" s="22"/>
      <c r="N701" s="22"/>
      <c r="X701" s="17"/>
    </row>
    <row r="702" spans="10:24" ht="12.75" x14ac:dyDescent="0.2">
      <c r="J702" s="22"/>
      <c r="N702" s="22"/>
      <c r="X702" s="17"/>
    </row>
    <row r="703" spans="10:24" ht="12.75" x14ac:dyDescent="0.2">
      <c r="J703" s="22"/>
      <c r="N703" s="22"/>
      <c r="X703" s="17"/>
    </row>
    <row r="704" spans="10:24" ht="12.75" x14ac:dyDescent="0.2">
      <c r="J704" s="22"/>
      <c r="N704" s="22"/>
      <c r="X704" s="17"/>
    </row>
    <row r="705" spans="10:24" ht="12.75" x14ac:dyDescent="0.2">
      <c r="J705" s="22"/>
      <c r="N705" s="22"/>
      <c r="X705" s="17"/>
    </row>
    <row r="706" spans="10:24" ht="12.75" x14ac:dyDescent="0.2">
      <c r="J706" s="22"/>
      <c r="N706" s="22"/>
      <c r="X706" s="17"/>
    </row>
    <row r="707" spans="10:24" ht="12.75" x14ac:dyDescent="0.2">
      <c r="J707" s="22"/>
      <c r="N707" s="22"/>
      <c r="X707" s="17"/>
    </row>
    <row r="708" spans="10:24" ht="12.75" x14ac:dyDescent="0.2">
      <c r="J708" s="22"/>
      <c r="N708" s="22"/>
      <c r="X708" s="17"/>
    </row>
    <row r="709" spans="10:24" ht="12.75" x14ac:dyDescent="0.2">
      <c r="J709" s="22"/>
      <c r="N709" s="22"/>
      <c r="X709" s="17"/>
    </row>
    <row r="710" spans="10:24" ht="12.75" x14ac:dyDescent="0.2">
      <c r="J710" s="22"/>
      <c r="N710" s="22"/>
      <c r="X710" s="17"/>
    </row>
    <row r="711" spans="10:24" ht="12.75" x14ac:dyDescent="0.2">
      <c r="J711" s="22"/>
      <c r="N711" s="22"/>
      <c r="X711" s="17"/>
    </row>
    <row r="712" spans="10:24" ht="12.75" x14ac:dyDescent="0.2">
      <c r="J712" s="22"/>
      <c r="N712" s="22"/>
      <c r="X712" s="17"/>
    </row>
    <row r="713" spans="10:24" ht="12.75" x14ac:dyDescent="0.2">
      <c r="J713" s="22"/>
      <c r="N713" s="22"/>
      <c r="X713" s="17"/>
    </row>
    <row r="714" spans="10:24" ht="12.75" x14ac:dyDescent="0.2">
      <c r="J714" s="22"/>
      <c r="N714" s="22"/>
      <c r="X714" s="17"/>
    </row>
    <row r="715" spans="10:24" ht="12.75" x14ac:dyDescent="0.2">
      <c r="J715" s="22"/>
      <c r="N715" s="22"/>
      <c r="X715" s="17"/>
    </row>
    <row r="716" spans="10:24" ht="12.75" x14ac:dyDescent="0.2">
      <c r="J716" s="22"/>
      <c r="N716" s="22"/>
      <c r="X716" s="17"/>
    </row>
    <row r="717" spans="10:24" ht="12.75" x14ac:dyDescent="0.2">
      <c r="J717" s="22"/>
      <c r="N717" s="22"/>
      <c r="X717" s="17"/>
    </row>
    <row r="718" spans="10:24" ht="12.75" x14ac:dyDescent="0.2">
      <c r="J718" s="22"/>
      <c r="N718" s="22"/>
      <c r="X718" s="17"/>
    </row>
    <row r="719" spans="10:24" ht="12.75" x14ac:dyDescent="0.2">
      <c r="J719" s="22"/>
      <c r="N719" s="22"/>
      <c r="X719" s="17"/>
    </row>
    <row r="720" spans="10:24" ht="12.75" x14ac:dyDescent="0.2">
      <c r="J720" s="22"/>
      <c r="N720" s="22"/>
      <c r="X720" s="17"/>
    </row>
    <row r="721" spans="10:24" ht="12.75" x14ac:dyDescent="0.2">
      <c r="J721" s="22"/>
      <c r="N721" s="22"/>
      <c r="X721" s="17"/>
    </row>
    <row r="722" spans="10:24" ht="12.75" x14ac:dyDescent="0.2">
      <c r="J722" s="22"/>
      <c r="N722" s="22"/>
      <c r="X722" s="17"/>
    </row>
    <row r="723" spans="10:24" ht="12.75" x14ac:dyDescent="0.2">
      <c r="J723" s="22"/>
      <c r="N723" s="22"/>
      <c r="X723" s="17"/>
    </row>
    <row r="724" spans="10:24" ht="12.75" x14ac:dyDescent="0.2">
      <c r="J724" s="22"/>
      <c r="N724" s="22"/>
      <c r="X724" s="17"/>
    </row>
    <row r="725" spans="10:24" ht="12.75" x14ac:dyDescent="0.2">
      <c r="J725" s="22"/>
      <c r="N725" s="22"/>
      <c r="X725" s="17"/>
    </row>
    <row r="726" spans="10:24" ht="12.75" x14ac:dyDescent="0.2">
      <c r="J726" s="22"/>
      <c r="N726" s="22"/>
      <c r="X726" s="17"/>
    </row>
    <row r="727" spans="10:24" ht="12.75" x14ac:dyDescent="0.2">
      <c r="J727" s="22"/>
      <c r="N727" s="22"/>
      <c r="X727" s="17"/>
    </row>
    <row r="728" spans="10:24" ht="12.75" x14ac:dyDescent="0.2">
      <c r="J728" s="22"/>
      <c r="N728" s="22"/>
      <c r="X728" s="17"/>
    </row>
    <row r="729" spans="10:24" ht="12.75" x14ac:dyDescent="0.2">
      <c r="J729" s="22"/>
      <c r="N729" s="22"/>
      <c r="X729" s="17"/>
    </row>
    <row r="730" spans="10:24" ht="12.75" x14ac:dyDescent="0.2">
      <c r="J730" s="22"/>
      <c r="N730" s="22"/>
      <c r="X730" s="17"/>
    </row>
    <row r="731" spans="10:24" ht="12.75" x14ac:dyDescent="0.2">
      <c r="J731" s="22"/>
      <c r="N731" s="22"/>
      <c r="X731" s="17"/>
    </row>
    <row r="732" spans="10:24" ht="12.75" x14ac:dyDescent="0.2">
      <c r="J732" s="22"/>
      <c r="N732" s="22"/>
      <c r="X732" s="17"/>
    </row>
    <row r="733" spans="10:24" ht="12.75" x14ac:dyDescent="0.2">
      <c r="J733" s="22"/>
      <c r="N733" s="22"/>
      <c r="X733" s="17"/>
    </row>
    <row r="734" spans="10:24" ht="12.75" x14ac:dyDescent="0.2">
      <c r="J734" s="22"/>
      <c r="N734" s="22"/>
      <c r="X734" s="17"/>
    </row>
    <row r="735" spans="10:24" ht="12.75" x14ac:dyDescent="0.2">
      <c r="J735" s="22"/>
      <c r="N735" s="22"/>
      <c r="X735" s="17"/>
    </row>
    <row r="736" spans="10:24" ht="12.75" x14ac:dyDescent="0.2">
      <c r="J736" s="22"/>
      <c r="N736" s="22"/>
      <c r="X736" s="17"/>
    </row>
    <row r="737" spans="10:24" ht="12.75" x14ac:dyDescent="0.2">
      <c r="J737" s="22"/>
      <c r="N737" s="22"/>
      <c r="X737" s="17"/>
    </row>
    <row r="738" spans="10:24" ht="12.75" x14ac:dyDescent="0.2">
      <c r="J738" s="22"/>
      <c r="N738" s="22"/>
      <c r="X738" s="17"/>
    </row>
    <row r="739" spans="10:24" ht="12.75" x14ac:dyDescent="0.2">
      <c r="J739" s="22"/>
      <c r="N739" s="22"/>
      <c r="X739" s="17"/>
    </row>
    <row r="740" spans="10:24" ht="12.75" x14ac:dyDescent="0.2">
      <c r="J740" s="22"/>
      <c r="N740" s="22"/>
      <c r="X740" s="17"/>
    </row>
    <row r="741" spans="10:24" ht="12.75" x14ac:dyDescent="0.2">
      <c r="J741" s="22"/>
      <c r="N741" s="22"/>
      <c r="X741" s="17"/>
    </row>
    <row r="742" spans="10:24" ht="12.75" x14ac:dyDescent="0.2">
      <c r="J742" s="22"/>
      <c r="N742" s="22"/>
      <c r="X742" s="17"/>
    </row>
    <row r="743" spans="10:24" ht="12.75" x14ac:dyDescent="0.2">
      <c r="J743" s="22"/>
      <c r="N743" s="22"/>
      <c r="X743" s="17"/>
    </row>
    <row r="744" spans="10:24" ht="12.75" x14ac:dyDescent="0.2">
      <c r="J744" s="22"/>
      <c r="N744" s="22"/>
      <c r="X744" s="17"/>
    </row>
    <row r="745" spans="10:24" ht="12.75" x14ac:dyDescent="0.2">
      <c r="J745" s="22"/>
      <c r="N745" s="22"/>
      <c r="X745" s="17"/>
    </row>
    <row r="746" spans="10:24" ht="12.75" x14ac:dyDescent="0.2">
      <c r="J746" s="22"/>
      <c r="N746" s="22"/>
      <c r="X746" s="17"/>
    </row>
    <row r="747" spans="10:24" ht="12.75" x14ac:dyDescent="0.2">
      <c r="J747" s="22"/>
      <c r="N747" s="22"/>
      <c r="X747" s="17"/>
    </row>
    <row r="748" spans="10:24" ht="12.75" x14ac:dyDescent="0.2">
      <c r="J748" s="22"/>
      <c r="N748" s="22"/>
      <c r="X748" s="17"/>
    </row>
    <row r="749" spans="10:24" ht="12.75" x14ac:dyDescent="0.2">
      <c r="J749" s="22"/>
      <c r="N749" s="22"/>
      <c r="X749" s="17"/>
    </row>
    <row r="750" spans="10:24" ht="12.75" x14ac:dyDescent="0.2">
      <c r="J750" s="22"/>
      <c r="N750" s="22"/>
      <c r="X750" s="17"/>
    </row>
    <row r="751" spans="10:24" ht="12.75" x14ac:dyDescent="0.2">
      <c r="J751" s="22"/>
      <c r="N751" s="22"/>
      <c r="X751" s="17"/>
    </row>
    <row r="752" spans="10:24" ht="12.75" x14ac:dyDescent="0.2">
      <c r="J752" s="22"/>
      <c r="N752" s="22"/>
      <c r="X752" s="17"/>
    </row>
    <row r="753" spans="10:24" ht="12.75" x14ac:dyDescent="0.2">
      <c r="J753" s="22"/>
      <c r="N753" s="22"/>
      <c r="X753" s="17"/>
    </row>
    <row r="754" spans="10:24" ht="12.75" x14ac:dyDescent="0.2">
      <c r="J754" s="22"/>
      <c r="N754" s="22"/>
      <c r="X754" s="17"/>
    </row>
    <row r="755" spans="10:24" ht="12.75" x14ac:dyDescent="0.2">
      <c r="J755" s="22"/>
      <c r="N755" s="22"/>
      <c r="X755" s="17"/>
    </row>
    <row r="756" spans="10:24" ht="12.75" x14ac:dyDescent="0.2">
      <c r="J756" s="22"/>
      <c r="N756" s="22"/>
      <c r="X756" s="17"/>
    </row>
    <row r="757" spans="10:24" ht="12.75" x14ac:dyDescent="0.2">
      <c r="J757" s="22"/>
      <c r="N757" s="22"/>
      <c r="X757" s="17"/>
    </row>
    <row r="758" spans="10:24" ht="12.75" x14ac:dyDescent="0.2">
      <c r="J758" s="22"/>
      <c r="N758" s="22"/>
      <c r="X758" s="17"/>
    </row>
    <row r="759" spans="10:24" ht="12.75" x14ac:dyDescent="0.2">
      <c r="J759" s="22"/>
      <c r="N759" s="22"/>
      <c r="X759" s="17"/>
    </row>
    <row r="760" spans="10:24" ht="12.75" x14ac:dyDescent="0.2">
      <c r="J760" s="22"/>
      <c r="N760" s="22"/>
      <c r="X760" s="17"/>
    </row>
    <row r="761" spans="10:24" ht="12.75" x14ac:dyDescent="0.2">
      <c r="J761" s="22"/>
      <c r="N761" s="22"/>
      <c r="X761" s="17"/>
    </row>
    <row r="762" spans="10:24" ht="12.75" x14ac:dyDescent="0.2">
      <c r="J762" s="22"/>
      <c r="N762" s="22"/>
      <c r="X762" s="17"/>
    </row>
    <row r="763" spans="10:24" ht="12.75" x14ac:dyDescent="0.2">
      <c r="J763" s="22"/>
      <c r="N763" s="22"/>
      <c r="X763" s="17"/>
    </row>
    <row r="764" spans="10:24" ht="12.75" x14ac:dyDescent="0.2">
      <c r="J764" s="22"/>
      <c r="N764" s="22"/>
      <c r="X764" s="17"/>
    </row>
    <row r="765" spans="10:24" ht="12.75" x14ac:dyDescent="0.2">
      <c r="J765" s="22"/>
      <c r="N765" s="22"/>
      <c r="X765" s="17"/>
    </row>
    <row r="766" spans="10:24" ht="12.75" x14ac:dyDescent="0.2">
      <c r="J766" s="22"/>
      <c r="N766" s="22"/>
      <c r="X766" s="17"/>
    </row>
    <row r="767" spans="10:24" ht="12.75" x14ac:dyDescent="0.2">
      <c r="J767" s="22"/>
      <c r="N767" s="22"/>
      <c r="X767" s="17"/>
    </row>
    <row r="768" spans="10:24" ht="12.75" x14ac:dyDescent="0.2">
      <c r="J768" s="22"/>
      <c r="N768" s="22"/>
      <c r="X768" s="17"/>
    </row>
    <row r="769" spans="10:24" ht="12.75" x14ac:dyDescent="0.2">
      <c r="J769" s="22"/>
      <c r="N769" s="22"/>
      <c r="X769" s="17"/>
    </row>
    <row r="770" spans="10:24" ht="12.75" x14ac:dyDescent="0.2">
      <c r="J770" s="22"/>
      <c r="N770" s="22"/>
      <c r="X770" s="17"/>
    </row>
    <row r="771" spans="10:24" ht="12.75" x14ac:dyDescent="0.2">
      <c r="J771" s="22"/>
      <c r="N771" s="22"/>
      <c r="X771" s="17"/>
    </row>
    <row r="772" spans="10:24" ht="12.75" x14ac:dyDescent="0.2">
      <c r="J772" s="22"/>
      <c r="N772" s="22"/>
      <c r="X772" s="17"/>
    </row>
    <row r="773" spans="10:24" ht="12.75" x14ac:dyDescent="0.2">
      <c r="J773" s="22"/>
      <c r="N773" s="22"/>
      <c r="X773" s="17"/>
    </row>
    <row r="774" spans="10:24" ht="12.75" x14ac:dyDescent="0.2">
      <c r="J774" s="22"/>
      <c r="N774" s="22"/>
      <c r="X774" s="17"/>
    </row>
    <row r="775" spans="10:24" ht="12.75" x14ac:dyDescent="0.2">
      <c r="J775" s="22"/>
      <c r="N775" s="22"/>
      <c r="X775" s="17"/>
    </row>
    <row r="776" spans="10:24" ht="12.75" x14ac:dyDescent="0.2">
      <c r="J776" s="22"/>
      <c r="N776" s="22"/>
      <c r="X776" s="17"/>
    </row>
    <row r="777" spans="10:24" ht="12.75" x14ac:dyDescent="0.2">
      <c r="J777" s="22"/>
      <c r="N777" s="22"/>
      <c r="X777" s="17"/>
    </row>
    <row r="778" spans="10:24" ht="12.75" x14ac:dyDescent="0.2">
      <c r="J778" s="22"/>
      <c r="N778" s="22"/>
      <c r="X778" s="17"/>
    </row>
    <row r="779" spans="10:24" ht="12.75" x14ac:dyDescent="0.2">
      <c r="J779" s="22"/>
      <c r="N779" s="22"/>
      <c r="X779" s="17"/>
    </row>
    <row r="780" spans="10:24" ht="12.75" x14ac:dyDescent="0.2">
      <c r="J780" s="22"/>
      <c r="N780" s="22"/>
      <c r="X780" s="17"/>
    </row>
    <row r="781" spans="10:24" ht="12.75" x14ac:dyDescent="0.2">
      <c r="J781" s="22"/>
      <c r="N781" s="22"/>
      <c r="X781" s="17"/>
    </row>
    <row r="782" spans="10:24" ht="12.75" x14ac:dyDescent="0.2">
      <c r="J782" s="22"/>
      <c r="N782" s="22"/>
      <c r="X782" s="17"/>
    </row>
    <row r="783" spans="10:24" ht="12.75" x14ac:dyDescent="0.2">
      <c r="J783" s="22"/>
      <c r="N783" s="22"/>
      <c r="X783" s="17"/>
    </row>
    <row r="784" spans="10:24" ht="12.75" x14ac:dyDescent="0.2">
      <c r="J784" s="22"/>
      <c r="N784" s="22"/>
      <c r="X784" s="17"/>
    </row>
    <row r="785" spans="10:24" ht="12.75" x14ac:dyDescent="0.2">
      <c r="J785" s="22"/>
      <c r="N785" s="22"/>
      <c r="X785" s="17"/>
    </row>
    <row r="786" spans="10:24" ht="12.75" x14ac:dyDescent="0.2">
      <c r="J786" s="22"/>
      <c r="N786" s="22"/>
      <c r="X786" s="17"/>
    </row>
    <row r="787" spans="10:24" ht="12.75" x14ac:dyDescent="0.2">
      <c r="J787" s="22"/>
      <c r="N787" s="22"/>
      <c r="X787" s="17"/>
    </row>
    <row r="788" spans="10:24" ht="12.75" x14ac:dyDescent="0.2">
      <c r="J788" s="22"/>
      <c r="N788" s="22"/>
      <c r="X788" s="17"/>
    </row>
    <row r="789" spans="10:24" ht="12.75" x14ac:dyDescent="0.2">
      <c r="J789" s="22"/>
      <c r="N789" s="22"/>
      <c r="X789" s="17"/>
    </row>
    <row r="790" spans="10:24" ht="12.75" x14ac:dyDescent="0.2">
      <c r="J790" s="22"/>
      <c r="N790" s="22"/>
      <c r="X790" s="17"/>
    </row>
    <row r="791" spans="10:24" ht="12.75" x14ac:dyDescent="0.2">
      <c r="J791" s="22"/>
      <c r="N791" s="22"/>
      <c r="X791" s="17"/>
    </row>
    <row r="792" spans="10:24" ht="12.75" x14ac:dyDescent="0.2">
      <c r="J792" s="22"/>
      <c r="N792" s="22"/>
      <c r="X792" s="17"/>
    </row>
    <row r="793" spans="10:24" ht="12.75" x14ac:dyDescent="0.2">
      <c r="J793" s="22"/>
      <c r="N793" s="22"/>
      <c r="X793" s="17"/>
    </row>
    <row r="794" spans="10:24" ht="12.75" x14ac:dyDescent="0.2">
      <c r="J794" s="22"/>
      <c r="N794" s="22"/>
      <c r="X794" s="17"/>
    </row>
    <row r="795" spans="10:24" ht="12.75" x14ac:dyDescent="0.2">
      <c r="J795" s="22"/>
      <c r="N795" s="22"/>
      <c r="X795" s="17"/>
    </row>
    <row r="796" spans="10:24" ht="12.75" x14ac:dyDescent="0.2">
      <c r="J796" s="22"/>
      <c r="N796" s="22"/>
      <c r="X796" s="17"/>
    </row>
    <row r="797" spans="10:24" ht="12.75" x14ac:dyDescent="0.2">
      <c r="J797" s="22"/>
      <c r="N797" s="22"/>
      <c r="X797" s="17"/>
    </row>
    <row r="798" spans="10:24" ht="12.75" x14ac:dyDescent="0.2">
      <c r="J798" s="22"/>
      <c r="N798" s="22"/>
      <c r="X798" s="17"/>
    </row>
    <row r="799" spans="10:24" ht="12.75" x14ac:dyDescent="0.2">
      <c r="J799" s="22"/>
      <c r="N799" s="22"/>
      <c r="X799" s="17"/>
    </row>
    <row r="800" spans="10:24" ht="12.75" x14ac:dyDescent="0.2">
      <c r="J800" s="22"/>
      <c r="N800" s="22"/>
      <c r="X800" s="17"/>
    </row>
    <row r="801" spans="10:24" ht="12.75" x14ac:dyDescent="0.2">
      <c r="J801" s="22"/>
      <c r="N801" s="22"/>
      <c r="X801" s="17"/>
    </row>
    <row r="802" spans="10:24" ht="12.75" x14ac:dyDescent="0.2">
      <c r="J802" s="22"/>
      <c r="N802" s="22"/>
      <c r="X802" s="17"/>
    </row>
    <row r="803" spans="10:24" ht="12.75" x14ac:dyDescent="0.2">
      <c r="J803" s="22"/>
      <c r="N803" s="22"/>
      <c r="X803" s="17"/>
    </row>
    <row r="804" spans="10:24" ht="12.75" x14ac:dyDescent="0.2">
      <c r="J804" s="22"/>
      <c r="N804" s="22"/>
      <c r="X804" s="17"/>
    </row>
    <row r="805" spans="10:24" ht="12.75" x14ac:dyDescent="0.2">
      <c r="J805" s="22"/>
      <c r="N805" s="22"/>
      <c r="X805" s="17"/>
    </row>
    <row r="806" spans="10:24" ht="12.75" x14ac:dyDescent="0.2">
      <c r="J806" s="22"/>
      <c r="N806" s="22"/>
      <c r="X806" s="17"/>
    </row>
    <row r="807" spans="10:24" ht="12.75" x14ac:dyDescent="0.2">
      <c r="J807" s="22"/>
      <c r="N807" s="22"/>
      <c r="X807" s="17"/>
    </row>
    <row r="808" spans="10:24" ht="12.75" x14ac:dyDescent="0.2">
      <c r="J808" s="22"/>
      <c r="N808" s="22"/>
      <c r="X808" s="17"/>
    </row>
    <row r="809" spans="10:24" ht="12.75" x14ac:dyDescent="0.2">
      <c r="J809" s="22"/>
      <c r="N809" s="22"/>
      <c r="X809" s="17"/>
    </row>
    <row r="810" spans="10:24" ht="12.75" x14ac:dyDescent="0.2">
      <c r="J810" s="22"/>
      <c r="N810" s="22"/>
      <c r="X810" s="17"/>
    </row>
    <row r="811" spans="10:24" ht="12.75" x14ac:dyDescent="0.2">
      <c r="J811" s="22"/>
      <c r="N811" s="22"/>
      <c r="X811" s="17"/>
    </row>
    <row r="812" spans="10:24" ht="12.75" x14ac:dyDescent="0.2">
      <c r="J812" s="22"/>
      <c r="N812" s="22"/>
      <c r="X812" s="17"/>
    </row>
    <row r="813" spans="10:24" ht="12.75" x14ac:dyDescent="0.2">
      <c r="J813" s="22"/>
      <c r="N813" s="22"/>
      <c r="X813" s="17"/>
    </row>
    <row r="814" spans="10:24" ht="12.75" x14ac:dyDescent="0.2">
      <c r="J814" s="22"/>
      <c r="N814" s="22"/>
      <c r="X814" s="17"/>
    </row>
    <row r="815" spans="10:24" ht="12.75" x14ac:dyDescent="0.2">
      <c r="J815" s="22"/>
      <c r="N815" s="22"/>
      <c r="X815" s="17"/>
    </row>
    <row r="816" spans="10:24" ht="12.75" x14ac:dyDescent="0.2">
      <c r="J816" s="22"/>
      <c r="N816" s="22"/>
      <c r="X816" s="17"/>
    </row>
    <row r="817" spans="10:24" ht="12.75" x14ac:dyDescent="0.2">
      <c r="J817" s="22"/>
      <c r="N817" s="22"/>
      <c r="X817" s="17"/>
    </row>
    <row r="818" spans="10:24" ht="12.75" x14ac:dyDescent="0.2">
      <c r="J818" s="22"/>
      <c r="N818" s="22"/>
      <c r="X818" s="17"/>
    </row>
    <row r="819" spans="10:24" ht="12.75" x14ac:dyDescent="0.2">
      <c r="J819" s="22"/>
      <c r="N819" s="22"/>
      <c r="X819" s="17"/>
    </row>
    <row r="820" spans="10:24" ht="12.75" x14ac:dyDescent="0.2">
      <c r="J820" s="22"/>
      <c r="N820" s="22"/>
      <c r="X820" s="17"/>
    </row>
    <row r="821" spans="10:24" ht="12.75" x14ac:dyDescent="0.2">
      <c r="J821" s="22"/>
      <c r="N821" s="22"/>
      <c r="X821" s="17"/>
    </row>
    <row r="822" spans="10:24" ht="12.75" x14ac:dyDescent="0.2">
      <c r="J822" s="22"/>
      <c r="N822" s="22"/>
      <c r="X822" s="17"/>
    </row>
    <row r="823" spans="10:24" ht="12.75" x14ac:dyDescent="0.2">
      <c r="J823" s="22"/>
      <c r="N823" s="22"/>
      <c r="X823" s="17"/>
    </row>
    <row r="824" spans="10:24" ht="12.75" x14ac:dyDescent="0.2">
      <c r="J824" s="22"/>
      <c r="N824" s="22"/>
      <c r="X824" s="17"/>
    </row>
    <row r="825" spans="10:24" ht="12.75" x14ac:dyDescent="0.2">
      <c r="J825" s="22"/>
      <c r="N825" s="22"/>
      <c r="X825" s="17"/>
    </row>
    <row r="826" spans="10:24" ht="12.75" x14ac:dyDescent="0.2">
      <c r="J826" s="22"/>
      <c r="N826" s="22"/>
      <c r="X826" s="17"/>
    </row>
    <row r="827" spans="10:24" ht="12.75" x14ac:dyDescent="0.2">
      <c r="J827" s="22"/>
      <c r="N827" s="22"/>
      <c r="X827" s="17"/>
    </row>
    <row r="828" spans="10:24" ht="12.75" x14ac:dyDescent="0.2">
      <c r="J828" s="22"/>
      <c r="N828" s="22"/>
      <c r="X828" s="17"/>
    </row>
    <row r="829" spans="10:24" ht="12.75" x14ac:dyDescent="0.2">
      <c r="J829" s="22"/>
      <c r="N829" s="22"/>
      <c r="X829" s="17"/>
    </row>
    <row r="830" spans="10:24" ht="12.75" x14ac:dyDescent="0.2">
      <c r="J830" s="22"/>
      <c r="N830" s="22"/>
      <c r="X830" s="17"/>
    </row>
    <row r="831" spans="10:24" ht="12.75" x14ac:dyDescent="0.2">
      <c r="J831" s="22"/>
      <c r="N831" s="22"/>
      <c r="X831" s="17"/>
    </row>
    <row r="832" spans="10:24" ht="12.75" x14ac:dyDescent="0.2">
      <c r="J832" s="22"/>
      <c r="N832" s="22"/>
      <c r="X832" s="17"/>
    </row>
    <row r="833" spans="10:24" ht="12.75" x14ac:dyDescent="0.2">
      <c r="J833" s="22"/>
      <c r="N833" s="22"/>
      <c r="X833" s="17"/>
    </row>
    <row r="834" spans="10:24" ht="12.75" x14ac:dyDescent="0.2">
      <c r="J834" s="22"/>
      <c r="N834" s="22"/>
      <c r="X834" s="17"/>
    </row>
    <row r="835" spans="10:24" ht="12.75" x14ac:dyDescent="0.2">
      <c r="J835" s="22"/>
      <c r="N835" s="22"/>
      <c r="X835" s="17"/>
    </row>
    <row r="836" spans="10:24" ht="12.75" x14ac:dyDescent="0.2">
      <c r="J836" s="22"/>
      <c r="N836" s="22"/>
      <c r="X836" s="17"/>
    </row>
    <row r="837" spans="10:24" ht="12.75" x14ac:dyDescent="0.2">
      <c r="J837" s="22"/>
      <c r="N837" s="22"/>
      <c r="X837" s="17"/>
    </row>
    <row r="838" spans="10:24" ht="12.75" x14ac:dyDescent="0.2">
      <c r="J838" s="22"/>
      <c r="N838" s="22"/>
      <c r="X838" s="17"/>
    </row>
    <row r="839" spans="10:24" ht="12.75" x14ac:dyDescent="0.2">
      <c r="J839" s="22"/>
      <c r="N839" s="22"/>
      <c r="X839" s="17"/>
    </row>
    <row r="840" spans="10:24" ht="12.75" x14ac:dyDescent="0.2">
      <c r="J840" s="22"/>
      <c r="N840" s="22"/>
      <c r="X840" s="17"/>
    </row>
    <row r="841" spans="10:24" ht="12.75" x14ac:dyDescent="0.2">
      <c r="J841" s="22"/>
      <c r="N841" s="22"/>
      <c r="X841" s="17"/>
    </row>
    <row r="842" spans="10:24" ht="12.75" x14ac:dyDescent="0.2">
      <c r="J842" s="22"/>
      <c r="N842" s="22"/>
      <c r="X842" s="17"/>
    </row>
    <row r="843" spans="10:24" ht="12.75" x14ac:dyDescent="0.2">
      <c r="J843" s="22"/>
      <c r="N843" s="22"/>
      <c r="X843" s="17"/>
    </row>
    <row r="844" spans="10:24" ht="12.75" x14ac:dyDescent="0.2">
      <c r="J844" s="22"/>
      <c r="N844" s="22"/>
      <c r="X844" s="17"/>
    </row>
    <row r="845" spans="10:24" ht="12.75" x14ac:dyDescent="0.2">
      <c r="J845" s="22"/>
      <c r="N845" s="22"/>
      <c r="X845" s="17"/>
    </row>
    <row r="846" spans="10:24" ht="12.75" x14ac:dyDescent="0.2">
      <c r="J846" s="22"/>
      <c r="N846" s="22"/>
      <c r="X846" s="17"/>
    </row>
    <row r="847" spans="10:24" ht="12.75" x14ac:dyDescent="0.2">
      <c r="J847" s="22"/>
      <c r="N847" s="22"/>
      <c r="X847" s="17"/>
    </row>
    <row r="848" spans="10:24" ht="12.75" x14ac:dyDescent="0.2">
      <c r="J848" s="22"/>
      <c r="N848" s="22"/>
      <c r="X848" s="17"/>
    </row>
    <row r="849" spans="10:24" ht="12.75" x14ac:dyDescent="0.2">
      <c r="J849" s="22"/>
      <c r="N849" s="22"/>
      <c r="X849" s="17"/>
    </row>
    <row r="850" spans="10:24" ht="12.75" x14ac:dyDescent="0.2">
      <c r="J850" s="22"/>
      <c r="N850" s="22"/>
      <c r="X850" s="17"/>
    </row>
    <row r="851" spans="10:24" ht="12.75" x14ac:dyDescent="0.2">
      <c r="J851" s="22"/>
      <c r="N851" s="22"/>
      <c r="X851" s="17"/>
    </row>
    <row r="852" spans="10:24" ht="12.75" x14ac:dyDescent="0.2">
      <c r="J852" s="22"/>
      <c r="N852" s="22"/>
      <c r="X852" s="17"/>
    </row>
    <row r="853" spans="10:24" ht="12.75" x14ac:dyDescent="0.2">
      <c r="J853" s="22"/>
      <c r="N853" s="22"/>
      <c r="X853" s="17"/>
    </row>
    <row r="854" spans="10:24" ht="12.75" x14ac:dyDescent="0.2">
      <c r="J854" s="22"/>
      <c r="N854" s="22"/>
      <c r="X854" s="17"/>
    </row>
    <row r="855" spans="10:24" ht="12.75" x14ac:dyDescent="0.2">
      <c r="J855" s="22"/>
      <c r="N855" s="22"/>
      <c r="X855" s="17"/>
    </row>
    <row r="856" spans="10:24" ht="12.75" x14ac:dyDescent="0.2">
      <c r="J856" s="22"/>
      <c r="N856" s="22"/>
      <c r="X856" s="17"/>
    </row>
    <row r="857" spans="10:24" ht="12.75" x14ac:dyDescent="0.2">
      <c r="J857" s="22"/>
      <c r="N857" s="22"/>
      <c r="X857" s="17"/>
    </row>
    <row r="858" spans="10:24" ht="12.75" x14ac:dyDescent="0.2">
      <c r="J858" s="22"/>
      <c r="N858" s="22"/>
      <c r="X858" s="17"/>
    </row>
    <row r="859" spans="10:24" ht="12.75" x14ac:dyDescent="0.2">
      <c r="J859" s="22"/>
      <c r="N859" s="22"/>
      <c r="X859" s="17"/>
    </row>
    <row r="860" spans="10:24" ht="12.75" x14ac:dyDescent="0.2">
      <c r="J860" s="22"/>
      <c r="N860" s="22"/>
      <c r="X860" s="17"/>
    </row>
    <row r="861" spans="10:24" ht="12.75" x14ac:dyDescent="0.2">
      <c r="J861" s="22"/>
      <c r="N861" s="22"/>
      <c r="X861" s="17"/>
    </row>
    <row r="862" spans="10:24" ht="12.75" x14ac:dyDescent="0.2">
      <c r="J862" s="22"/>
      <c r="N862" s="22"/>
      <c r="X862" s="17"/>
    </row>
    <row r="863" spans="10:24" ht="12.75" x14ac:dyDescent="0.2">
      <c r="J863" s="22"/>
      <c r="N863" s="22"/>
      <c r="X863" s="17"/>
    </row>
    <row r="864" spans="10:24" ht="12.75" x14ac:dyDescent="0.2">
      <c r="J864" s="22"/>
      <c r="N864" s="22"/>
      <c r="X864" s="17"/>
    </row>
    <row r="865" spans="10:24" ht="12.75" x14ac:dyDescent="0.2">
      <c r="J865" s="22"/>
      <c r="N865" s="22"/>
      <c r="X865" s="17"/>
    </row>
    <row r="866" spans="10:24" ht="12.75" x14ac:dyDescent="0.2">
      <c r="J866" s="22"/>
      <c r="N866" s="22"/>
      <c r="X866" s="17"/>
    </row>
    <row r="867" spans="10:24" ht="12.75" x14ac:dyDescent="0.2">
      <c r="J867" s="22"/>
      <c r="N867" s="22"/>
      <c r="X867" s="17"/>
    </row>
    <row r="868" spans="10:24" ht="12.75" x14ac:dyDescent="0.2">
      <c r="J868" s="22"/>
      <c r="N868" s="22"/>
      <c r="X868" s="17"/>
    </row>
    <row r="869" spans="10:24" ht="12.75" x14ac:dyDescent="0.2">
      <c r="J869" s="22"/>
      <c r="N869" s="22"/>
      <c r="X869" s="17"/>
    </row>
    <row r="870" spans="10:24" ht="12.75" x14ac:dyDescent="0.2">
      <c r="J870" s="22"/>
      <c r="N870" s="22"/>
      <c r="X870" s="17"/>
    </row>
    <row r="871" spans="10:24" ht="12.75" x14ac:dyDescent="0.2">
      <c r="J871" s="22"/>
      <c r="N871" s="22"/>
      <c r="X871" s="17"/>
    </row>
    <row r="872" spans="10:24" ht="12.75" x14ac:dyDescent="0.2">
      <c r="J872" s="22"/>
      <c r="N872" s="22"/>
      <c r="X872" s="17"/>
    </row>
    <row r="873" spans="10:24" ht="12.75" x14ac:dyDescent="0.2">
      <c r="J873" s="22"/>
      <c r="N873" s="22"/>
      <c r="X873" s="17"/>
    </row>
    <row r="874" spans="10:24" ht="12.75" x14ac:dyDescent="0.2">
      <c r="J874" s="22"/>
      <c r="N874" s="22"/>
      <c r="X874" s="17"/>
    </row>
    <row r="875" spans="10:24" ht="12.75" x14ac:dyDescent="0.2">
      <c r="J875" s="22"/>
      <c r="N875" s="22"/>
      <c r="X875" s="17"/>
    </row>
    <row r="876" spans="10:24" ht="12.75" x14ac:dyDescent="0.2">
      <c r="J876" s="22"/>
      <c r="N876" s="22"/>
      <c r="X876" s="17"/>
    </row>
    <row r="877" spans="10:24" ht="12.75" x14ac:dyDescent="0.2">
      <c r="J877" s="22"/>
      <c r="N877" s="22"/>
      <c r="X877" s="17"/>
    </row>
    <row r="878" spans="10:24" ht="12.75" x14ac:dyDescent="0.2">
      <c r="J878" s="22"/>
      <c r="N878" s="22"/>
      <c r="X878" s="17"/>
    </row>
    <row r="879" spans="10:24" ht="12.75" x14ac:dyDescent="0.2">
      <c r="J879" s="22"/>
      <c r="N879" s="22"/>
      <c r="X879" s="17"/>
    </row>
    <row r="880" spans="10:24" ht="12.75" x14ac:dyDescent="0.2">
      <c r="J880" s="22"/>
      <c r="N880" s="22"/>
      <c r="X880" s="17"/>
    </row>
    <row r="881" spans="10:24" ht="12.75" x14ac:dyDescent="0.2">
      <c r="J881" s="22"/>
      <c r="N881" s="22"/>
      <c r="X881" s="17"/>
    </row>
    <row r="882" spans="10:24" ht="12.75" x14ac:dyDescent="0.2">
      <c r="J882" s="22"/>
      <c r="N882" s="22"/>
      <c r="X882" s="17"/>
    </row>
    <row r="883" spans="10:24" ht="12.75" x14ac:dyDescent="0.2">
      <c r="J883" s="22"/>
      <c r="N883" s="22"/>
      <c r="X883" s="17"/>
    </row>
    <row r="884" spans="10:24" ht="12.75" x14ac:dyDescent="0.2">
      <c r="J884" s="22"/>
      <c r="N884" s="22"/>
      <c r="X884" s="17"/>
    </row>
    <row r="885" spans="10:24" ht="12.75" x14ac:dyDescent="0.2">
      <c r="J885" s="22"/>
      <c r="N885" s="22"/>
      <c r="X885" s="17"/>
    </row>
    <row r="886" spans="10:24" ht="12.75" x14ac:dyDescent="0.2">
      <c r="J886" s="22"/>
      <c r="N886" s="22"/>
      <c r="X886" s="17"/>
    </row>
    <row r="887" spans="10:24" ht="12.75" x14ac:dyDescent="0.2">
      <c r="J887" s="22"/>
      <c r="N887" s="22"/>
      <c r="X887" s="17"/>
    </row>
    <row r="888" spans="10:24" ht="12.75" x14ac:dyDescent="0.2">
      <c r="J888" s="22"/>
      <c r="N888" s="22"/>
      <c r="X888" s="17"/>
    </row>
    <row r="889" spans="10:24" ht="12.75" x14ac:dyDescent="0.2">
      <c r="J889" s="22"/>
      <c r="N889" s="22"/>
      <c r="X889" s="17"/>
    </row>
    <row r="890" spans="10:24" ht="12.75" x14ac:dyDescent="0.2">
      <c r="J890" s="22"/>
      <c r="N890" s="22"/>
      <c r="X890" s="17"/>
    </row>
    <row r="891" spans="10:24" ht="12.75" x14ac:dyDescent="0.2">
      <c r="J891" s="22"/>
      <c r="N891" s="22"/>
      <c r="X891" s="17"/>
    </row>
    <row r="892" spans="10:24" ht="12.75" x14ac:dyDescent="0.2">
      <c r="J892" s="22"/>
      <c r="N892" s="22"/>
      <c r="X892" s="17"/>
    </row>
    <row r="893" spans="10:24" ht="12.75" x14ac:dyDescent="0.2">
      <c r="J893" s="22"/>
      <c r="N893" s="22"/>
      <c r="X893" s="17"/>
    </row>
    <row r="894" spans="10:24" ht="12.75" x14ac:dyDescent="0.2">
      <c r="J894" s="22"/>
      <c r="N894" s="22"/>
      <c r="X894" s="17"/>
    </row>
    <row r="895" spans="10:24" ht="12.75" x14ac:dyDescent="0.2">
      <c r="J895" s="22"/>
      <c r="N895" s="22"/>
      <c r="X895" s="17"/>
    </row>
    <row r="896" spans="10:24" ht="12.75" x14ac:dyDescent="0.2">
      <c r="J896" s="22"/>
      <c r="N896" s="22"/>
      <c r="X896" s="17"/>
    </row>
  </sheetData>
  <hyperlinks>
    <hyperlink ref="G2" r:id="rId1" xr:uid="{00000000-0004-0000-0000-000000000000}"/>
    <hyperlink ref="L2" r:id="rId2" xr:uid="{00000000-0004-0000-0000-000001000000}"/>
    <hyperlink ref="G3" r:id="rId3" xr:uid="{00000000-0004-0000-0000-000002000000}"/>
    <hyperlink ref="L3" r:id="rId4" xr:uid="{00000000-0004-0000-0000-000003000000}"/>
    <hyperlink ref="G4" r:id="rId5" xr:uid="{00000000-0004-0000-0000-000004000000}"/>
    <hyperlink ref="L4" r:id="rId6" xr:uid="{00000000-0004-0000-0000-000005000000}"/>
    <hyperlink ref="G5" r:id="rId7" xr:uid="{00000000-0004-0000-0000-000006000000}"/>
    <hyperlink ref="L5" r:id="rId8" xr:uid="{00000000-0004-0000-0000-000007000000}"/>
    <hyperlink ref="G6" r:id="rId9" xr:uid="{00000000-0004-0000-0000-000008000000}"/>
    <hyperlink ref="L6" r:id="rId10" xr:uid="{00000000-0004-0000-0000-000009000000}"/>
    <hyperlink ref="G7" r:id="rId11" xr:uid="{00000000-0004-0000-0000-00000A000000}"/>
    <hyperlink ref="L7" r:id="rId12" xr:uid="{00000000-0004-0000-0000-00000B000000}"/>
    <hyperlink ref="G8" r:id="rId13" xr:uid="{00000000-0004-0000-0000-00000C000000}"/>
    <hyperlink ref="L8" r:id="rId14" xr:uid="{00000000-0004-0000-0000-00000D000000}"/>
    <hyperlink ref="G9" r:id="rId15" xr:uid="{00000000-0004-0000-0000-00000E000000}"/>
    <hyperlink ref="L9" r:id="rId16" xr:uid="{00000000-0004-0000-0000-00000F000000}"/>
    <hyperlink ref="G10" r:id="rId17" xr:uid="{00000000-0004-0000-0000-000010000000}"/>
    <hyperlink ref="L10" r:id="rId18" xr:uid="{00000000-0004-0000-0000-000011000000}"/>
    <hyperlink ref="G11" r:id="rId19" xr:uid="{00000000-0004-0000-0000-000012000000}"/>
    <hyperlink ref="L11" r:id="rId20" xr:uid="{00000000-0004-0000-0000-000013000000}"/>
    <hyperlink ref="G12" r:id="rId21" xr:uid="{00000000-0004-0000-0000-000014000000}"/>
    <hyperlink ref="L12" r:id="rId22" xr:uid="{00000000-0004-0000-0000-000015000000}"/>
    <hyperlink ref="G13" r:id="rId23" xr:uid="{00000000-0004-0000-0000-000016000000}"/>
    <hyperlink ref="L13" r:id="rId24" xr:uid="{00000000-0004-0000-0000-000017000000}"/>
    <hyperlink ref="G14" r:id="rId25" xr:uid="{00000000-0004-0000-0000-000018000000}"/>
    <hyperlink ref="L14" r:id="rId26" xr:uid="{00000000-0004-0000-0000-000019000000}"/>
    <hyperlink ref="G15" r:id="rId27" xr:uid="{00000000-0004-0000-0000-00001A000000}"/>
    <hyperlink ref="L15" r:id="rId28" xr:uid="{00000000-0004-0000-0000-00001B000000}"/>
    <hyperlink ref="G16" r:id="rId29" xr:uid="{00000000-0004-0000-0000-00001C000000}"/>
    <hyperlink ref="L16" r:id="rId30" xr:uid="{00000000-0004-0000-0000-00001D000000}"/>
    <hyperlink ref="G17" r:id="rId31" xr:uid="{00000000-0004-0000-0000-00001E000000}"/>
    <hyperlink ref="L17" r:id="rId32" xr:uid="{00000000-0004-0000-0000-00001F000000}"/>
    <hyperlink ref="G18" r:id="rId33" xr:uid="{00000000-0004-0000-0000-000020000000}"/>
    <hyperlink ref="L18" r:id="rId34" xr:uid="{00000000-0004-0000-0000-000021000000}"/>
    <hyperlink ref="G19" r:id="rId35" xr:uid="{00000000-0004-0000-0000-000022000000}"/>
    <hyperlink ref="L19" r:id="rId36" xr:uid="{00000000-0004-0000-0000-000023000000}"/>
    <hyperlink ref="G20" r:id="rId37" xr:uid="{00000000-0004-0000-0000-000024000000}"/>
    <hyperlink ref="L20" r:id="rId38" xr:uid="{00000000-0004-0000-0000-000025000000}"/>
    <hyperlink ref="G21" r:id="rId39" xr:uid="{00000000-0004-0000-0000-000026000000}"/>
    <hyperlink ref="L21" r:id="rId40" xr:uid="{00000000-0004-0000-0000-000027000000}"/>
    <hyperlink ref="G22" r:id="rId41" xr:uid="{00000000-0004-0000-0000-000028000000}"/>
    <hyperlink ref="L22" r:id="rId42" xr:uid="{00000000-0004-0000-0000-000029000000}"/>
    <hyperlink ref="G23" r:id="rId43" xr:uid="{00000000-0004-0000-0000-00002A000000}"/>
    <hyperlink ref="L23" r:id="rId44" xr:uid="{00000000-0004-0000-0000-00002B000000}"/>
    <hyperlink ref="G24" r:id="rId45" xr:uid="{00000000-0004-0000-0000-00002C000000}"/>
    <hyperlink ref="L24" r:id="rId46" xr:uid="{00000000-0004-0000-0000-00002D000000}"/>
    <hyperlink ref="G25" r:id="rId47" xr:uid="{00000000-0004-0000-0000-00002E000000}"/>
    <hyperlink ref="L25" r:id="rId48" xr:uid="{00000000-0004-0000-0000-00002F000000}"/>
    <hyperlink ref="G26" r:id="rId49" xr:uid="{00000000-0004-0000-0000-000030000000}"/>
    <hyperlink ref="L26" r:id="rId50" xr:uid="{00000000-0004-0000-0000-000031000000}"/>
    <hyperlink ref="G27" r:id="rId51" xr:uid="{00000000-0004-0000-0000-000032000000}"/>
    <hyperlink ref="L27" r:id="rId52" xr:uid="{00000000-0004-0000-0000-000033000000}"/>
    <hyperlink ref="G28" r:id="rId53" xr:uid="{00000000-0004-0000-0000-000034000000}"/>
    <hyperlink ref="L28" r:id="rId54" xr:uid="{00000000-0004-0000-0000-000035000000}"/>
    <hyperlink ref="G29" r:id="rId55" xr:uid="{00000000-0004-0000-0000-000036000000}"/>
    <hyperlink ref="L29" r:id="rId56" xr:uid="{00000000-0004-0000-0000-000037000000}"/>
    <hyperlink ref="G30" r:id="rId57" xr:uid="{00000000-0004-0000-0000-000038000000}"/>
    <hyperlink ref="L30" r:id="rId58" xr:uid="{00000000-0004-0000-0000-000039000000}"/>
    <hyperlink ref="G31" r:id="rId59" xr:uid="{00000000-0004-0000-0000-00003A000000}"/>
    <hyperlink ref="L31" r:id="rId60" xr:uid="{00000000-0004-0000-0000-00003B000000}"/>
    <hyperlink ref="G32" r:id="rId61" xr:uid="{00000000-0004-0000-0000-00003C000000}"/>
    <hyperlink ref="L32" r:id="rId62" xr:uid="{00000000-0004-0000-0000-00003D000000}"/>
    <hyperlink ref="G33" r:id="rId63" xr:uid="{00000000-0004-0000-0000-00003E000000}"/>
    <hyperlink ref="L33" r:id="rId64" xr:uid="{00000000-0004-0000-0000-00003F000000}"/>
    <hyperlink ref="G34" r:id="rId65" xr:uid="{00000000-0004-0000-0000-000040000000}"/>
    <hyperlink ref="L34" r:id="rId66" xr:uid="{00000000-0004-0000-0000-000041000000}"/>
    <hyperlink ref="G35" r:id="rId67" xr:uid="{00000000-0004-0000-0000-000042000000}"/>
    <hyperlink ref="L35" r:id="rId68" xr:uid="{00000000-0004-0000-0000-000043000000}"/>
    <hyperlink ref="G36" r:id="rId69" xr:uid="{00000000-0004-0000-0000-000044000000}"/>
    <hyperlink ref="L36" r:id="rId70" xr:uid="{00000000-0004-0000-0000-000045000000}"/>
    <hyperlink ref="G37" r:id="rId71" xr:uid="{00000000-0004-0000-0000-000046000000}"/>
    <hyperlink ref="L37" r:id="rId72" xr:uid="{00000000-0004-0000-0000-000047000000}"/>
    <hyperlink ref="G38" r:id="rId73" xr:uid="{00000000-0004-0000-0000-000048000000}"/>
    <hyperlink ref="L38" r:id="rId74" xr:uid="{00000000-0004-0000-0000-000049000000}"/>
    <hyperlink ref="G39" r:id="rId75" xr:uid="{00000000-0004-0000-0000-00004A000000}"/>
    <hyperlink ref="L39" r:id="rId76" xr:uid="{00000000-0004-0000-0000-00004B000000}"/>
    <hyperlink ref="G40" r:id="rId77" xr:uid="{00000000-0004-0000-0000-00004C000000}"/>
    <hyperlink ref="L40" r:id="rId78" xr:uid="{00000000-0004-0000-0000-00004D000000}"/>
    <hyperlink ref="G41" r:id="rId79" xr:uid="{00000000-0004-0000-0000-00004E000000}"/>
    <hyperlink ref="L41" r:id="rId80" xr:uid="{00000000-0004-0000-0000-00004F000000}"/>
    <hyperlink ref="G42" r:id="rId81" xr:uid="{00000000-0004-0000-0000-000050000000}"/>
    <hyperlink ref="L42" r:id="rId82" xr:uid="{00000000-0004-0000-0000-000051000000}"/>
    <hyperlink ref="G43" r:id="rId83" xr:uid="{00000000-0004-0000-0000-000052000000}"/>
    <hyperlink ref="L43" r:id="rId84" xr:uid="{00000000-0004-0000-0000-000053000000}"/>
    <hyperlink ref="G44" r:id="rId85" xr:uid="{00000000-0004-0000-0000-000054000000}"/>
    <hyperlink ref="L44" r:id="rId86" xr:uid="{00000000-0004-0000-0000-000055000000}"/>
    <hyperlink ref="G45" r:id="rId87" xr:uid="{00000000-0004-0000-0000-000056000000}"/>
    <hyperlink ref="L45" r:id="rId88" xr:uid="{00000000-0004-0000-0000-000057000000}"/>
    <hyperlink ref="G46" r:id="rId89" xr:uid="{00000000-0004-0000-0000-000058000000}"/>
    <hyperlink ref="L46" r:id="rId90" xr:uid="{00000000-0004-0000-0000-000059000000}"/>
    <hyperlink ref="G47" r:id="rId91" xr:uid="{00000000-0004-0000-0000-00005A000000}"/>
    <hyperlink ref="L47" r:id="rId92" xr:uid="{00000000-0004-0000-0000-00005B000000}"/>
    <hyperlink ref="G48" r:id="rId93" xr:uid="{00000000-0004-0000-0000-00005C000000}"/>
    <hyperlink ref="L48" r:id="rId94" xr:uid="{00000000-0004-0000-0000-00005D000000}"/>
    <hyperlink ref="G49" r:id="rId95" xr:uid="{00000000-0004-0000-0000-00005E000000}"/>
    <hyperlink ref="L49" r:id="rId96" xr:uid="{00000000-0004-0000-0000-00005F000000}"/>
  </hyperlinks>
  <pageMargins left="0.7" right="0.7" top="0.75" bottom="0.75" header="0.3" footer="0.3"/>
  <pageSetup orientation="portrait" r:id="rId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897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4" width="11.140625" customWidth="1"/>
    <col min="5" max="5" width="29.85546875" customWidth="1"/>
  </cols>
  <sheetData>
    <row r="1" spans="1:5" x14ac:dyDescent="0.2">
      <c r="A1" s="1" t="s">
        <v>393</v>
      </c>
      <c r="B1" s="1" t="s">
        <v>2</v>
      </c>
      <c r="C1" s="1" t="s">
        <v>4</v>
      </c>
      <c r="D1" s="1" t="s">
        <v>394</v>
      </c>
      <c r="E1" s="2" t="s">
        <v>395</v>
      </c>
    </row>
    <row r="2" spans="1:5" x14ac:dyDescent="0.2">
      <c r="A2" s="5" t="s">
        <v>396</v>
      </c>
      <c r="B2" s="5"/>
      <c r="C2" s="5"/>
      <c r="D2" s="5"/>
      <c r="E2" s="7"/>
    </row>
    <row r="3" spans="1:5" x14ac:dyDescent="0.2">
      <c r="A3" s="5" t="s">
        <v>397</v>
      </c>
      <c r="B3" s="5" t="s">
        <v>310</v>
      </c>
      <c r="C3" s="5" t="str">
        <f>masterlist!E2</f>
        <v>gutt</v>
      </c>
      <c r="D3" s="5" t="str">
        <f t="shared" ref="D3:D32" si="0">CONCATENATE(PROPER(C3),".mp4")</f>
        <v>Gutt.mp4</v>
      </c>
      <c r="E3" s="7" t="str">
        <f t="shared" ref="E3:E50" si="1">CONCATENATE(PROPER(B3)," 1",".jpg")</f>
        <v>Cabbage 1.jpg</v>
      </c>
    </row>
    <row r="4" spans="1:5" x14ac:dyDescent="0.2">
      <c r="A4" s="5" t="s">
        <v>397</v>
      </c>
      <c r="B4" s="5" t="s">
        <v>275</v>
      </c>
      <c r="C4" s="5" t="str">
        <f>masterlist!E3</f>
        <v>barn</v>
      </c>
      <c r="D4" s="5" t="str">
        <f t="shared" si="0"/>
        <v>Barn.mp4</v>
      </c>
      <c r="E4" s="7" t="str">
        <f t="shared" si="1"/>
        <v>Engagement 1.jpg</v>
      </c>
    </row>
    <row r="5" spans="1:5" x14ac:dyDescent="0.2">
      <c r="A5" s="5" t="s">
        <v>397</v>
      </c>
      <c r="B5" s="5" t="s">
        <v>282</v>
      </c>
      <c r="C5" s="5" t="str">
        <f>masterlist!E4</f>
        <v>ørn</v>
      </c>
      <c r="D5" s="5" t="str">
        <f t="shared" si="0"/>
        <v>Ørn.mp4</v>
      </c>
      <c r="E5" s="7" t="str">
        <f t="shared" si="1"/>
        <v>Color 1.jpg</v>
      </c>
    </row>
    <row r="6" spans="1:5" x14ac:dyDescent="0.2">
      <c r="A6" s="5" t="s">
        <v>397</v>
      </c>
      <c r="B6" s="5" t="s">
        <v>317</v>
      </c>
      <c r="C6" s="5" t="str">
        <f>masterlist!E5</f>
        <v>familie</v>
      </c>
      <c r="D6" s="5" t="str">
        <f t="shared" si="0"/>
        <v>Familie.mp4</v>
      </c>
      <c r="E6" s="7" t="str">
        <f t="shared" si="1"/>
        <v>Doll 1.jpg</v>
      </c>
    </row>
    <row r="7" spans="1:5" x14ac:dyDescent="0.2">
      <c r="A7" s="5" t="s">
        <v>397</v>
      </c>
      <c r="B7" s="5" t="s">
        <v>289</v>
      </c>
      <c r="C7" s="5" t="str">
        <f>masterlist!E6</f>
        <v>puste</v>
      </c>
      <c r="D7" s="5" t="str">
        <f t="shared" si="0"/>
        <v>Puste.mp4</v>
      </c>
      <c r="E7" s="7" t="str">
        <f t="shared" si="1"/>
        <v>East 1.jpg</v>
      </c>
    </row>
    <row r="8" spans="1:5" x14ac:dyDescent="0.2">
      <c r="A8" s="5" t="s">
        <v>397</v>
      </c>
      <c r="B8" s="5" t="s">
        <v>223</v>
      </c>
      <c r="C8" s="5" t="str">
        <f>masterlist!E7</f>
        <v>gråte</v>
      </c>
      <c r="D8" s="5" t="str">
        <f t="shared" si="0"/>
        <v>Gråte.mp4</v>
      </c>
      <c r="E8" s="7" t="str">
        <f t="shared" si="1"/>
        <v>Frog 1.jpg</v>
      </c>
    </row>
    <row r="9" spans="1:5" x14ac:dyDescent="0.2">
      <c r="A9" s="5" t="s">
        <v>397</v>
      </c>
      <c r="B9" s="5" t="s">
        <v>233</v>
      </c>
      <c r="C9" s="5" t="str">
        <f>masterlist!E8</f>
        <v>løpe</v>
      </c>
      <c r="D9" s="5" t="str">
        <f t="shared" si="0"/>
        <v>Løpe.mp4</v>
      </c>
      <c r="E9" s="7" t="str">
        <f t="shared" si="1"/>
        <v>Gorilla 1.jpg</v>
      </c>
    </row>
    <row r="10" spans="1:5" x14ac:dyDescent="0.2">
      <c r="A10" s="5" t="s">
        <v>397</v>
      </c>
      <c r="B10" s="5" t="s">
        <v>324</v>
      </c>
      <c r="C10" s="5" t="str">
        <f>masterlist!E9</f>
        <v>synge</v>
      </c>
      <c r="D10" s="5" t="str">
        <f t="shared" si="0"/>
        <v>Synge.mp4</v>
      </c>
      <c r="E10" s="7" t="str">
        <f t="shared" si="1"/>
        <v>Magazine 1.jpg</v>
      </c>
    </row>
    <row r="11" spans="1:5" x14ac:dyDescent="0.2">
      <c r="A11" s="5" t="s">
        <v>397</v>
      </c>
      <c r="B11" s="5" t="s">
        <v>331</v>
      </c>
      <c r="C11" s="5" t="str">
        <f>masterlist!E10</f>
        <v>tror</v>
      </c>
      <c r="D11" s="5" t="str">
        <f t="shared" si="0"/>
        <v>Tror.mp4</v>
      </c>
      <c r="E11" s="7" t="str">
        <f t="shared" si="1"/>
        <v>Ring 1.jpg</v>
      </c>
    </row>
    <row r="12" spans="1:5" x14ac:dyDescent="0.2">
      <c r="A12" s="5" t="s">
        <v>397</v>
      </c>
      <c r="B12" s="17" t="s">
        <v>338</v>
      </c>
      <c r="C12" s="5" t="str">
        <f>masterlist!E11</f>
        <v>male</v>
      </c>
      <c r="D12" s="5" t="str">
        <f t="shared" si="0"/>
        <v>Male.mp4</v>
      </c>
      <c r="E12" s="7" t="str">
        <f t="shared" si="1"/>
        <v>Salt 1.jpg</v>
      </c>
    </row>
    <row r="13" spans="1:5" x14ac:dyDescent="0.2">
      <c r="A13" s="5" t="s">
        <v>397</v>
      </c>
      <c r="B13" s="5" t="s">
        <v>296</v>
      </c>
      <c r="C13" s="5" t="str">
        <f>masterlist!E12</f>
        <v>se-på</v>
      </c>
      <c r="D13" s="5" t="str">
        <f t="shared" si="0"/>
        <v>Se-På.mp4</v>
      </c>
      <c r="E13" s="7" t="str">
        <f t="shared" si="1"/>
        <v>School 1.jpg</v>
      </c>
    </row>
    <row r="14" spans="1:5" x14ac:dyDescent="0.2">
      <c r="A14" s="5" t="s">
        <v>397</v>
      </c>
      <c r="B14" s="5" t="s">
        <v>303</v>
      </c>
      <c r="C14" s="5" t="str">
        <f>masterlist!E13</f>
        <v>skrive</v>
      </c>
      <c r="D14" s="5" t="str">
        <f t="shared" si="0"/>
        <v>Skrive.mp4</v>
      </c>
      <c r="E14" s="7" t="str">
        <f t="shared" si="1"/>
        <v>Pain 1.jpg</v>
      </c>
    </row>
    <row r="15" spans="1:5" x14ac:dyDescent="0.2">
      <c r="A15" s="5" t="s">
        <v>397</v>
      </c>
      <c r="B15" s="5" t="s">
        <v>365</v>
      </c>
      <c r="C15" s="5" t="str">
        <f>masterlist!E14</f>
        <v>pen</v>
      </c>
      <c r="D15" s="5" t="str">
        <f t="shared" si="0"/>
        <v>Pen.mp4</v>
      </c>
      <c r="E15" s="7" t="str">
        <f t="shared" si="1"/>
        <v>Call 1.jpg</v>
      </c>
    </row>
    <row r="16" spans="1:5" x14ac:dyDescent="0.2">
      <c r="A16" s="5" t="s">
        <v>397</v>
      </c>
      <c r="B16" s="5" t="s">
        <v>239</v>
      </c>
      <c r="C16" s="5" t="str">
        <f>masterlist!E15</f>
        <v>endring</v>
      </c>
      <c r="D16" s="5" t="str">
        <f t="shared" si="0"/>
        <v>Endring.mp4</v>
      </c>
      <c r="E16" s="7" t="str">
        <f t="shared" si="1"/>
        <v>Come 1.jpg</v>
      </c>
    </row>
    <row r="17" spans="1:5" x14ac:dyDescent="0.2">
      <c r="A17" s="5" t="s">
        <v>397</v>
      </c>
      <c r="B17" s="5" t="s">
        <v>261</v>
      </c>
      <c r="C17" s="5" t="str">
        <f>masterlist!E16</f>
        <v>bok</v>
      </c>
      <c r="D17" s="5" t="str">
        <f t="shared" si="0"/>
        <v>Bok.mp4</v>
      </c>
      <c r="E17" s="7" t="str">
        <f t="shared" si="1"/>
        <v>Doubt 1.jpg</v>
      </c>
    </row>
    <row r="18" spans="1:5" x14ac:dyDescent="0.2">
      <c r="A18" s="5" t="s">
        <v>397</v>
      </c>
      <c r="B18" s="17" t="s">
        <v>268</v>
      </c>
      <c r="C18" s="5" t="str">
        <f>masterlist!E17</f>
        <v>kaffe</v>
      </c>
      <c r="D18" s="5" t="str">
        <f t="shared" si="0"/>
        <v>Kaffe.mp4</v>
      </c>
      <c r="E18" s="7" t="str">
        <f t="shared" si="1"/>
        <v>Play 1.jpg</v>
      </c>
    </row>
    <row r="19" spans="1:5" x14ac:dyDescent="0.2">
      <c r="A19" s="5" t="s">
        <v>397</v>
      </c>
      <c r="B19" s="13" t="s">
        <v>372</v>
      </c>
      <c r="C19" s="5" t="str">
        <f>masterlist!E18</f>
        <v>sigar</v>
      </c>
      <c r="D19" s="5" t="str">
        <f t="shared" si="0"/>
        <v>Sigar.mp4</v>
      </c>
      <c r="E19" s="7" t="str">
        <f t="shared" si="1"/>
        <v>Choose 1.jpg</v>
      </c>
    </row>
    <row r="20" spans="1:5" x14ac:dyDescent="0.2">
      <c r="A20" s="5" t="s">
        <v>397</v>
      </c>
      <c r="B20" s="17" t="s">
        <v>246</v>
      </c>
      <c r="C20" s="5" t="str">
        <f>masterlist!E19</f>
        <v>blomst</v>
      </c>
      <c r="D20" s="5" t="str">
        <f t="shared" si="0"/>
        <v>Blomst.mp4</v>
      </c>
      <c r="E20" s="7" t="str">
        <f t="shared" si="1"/>
        <v>Sail 1.jpg</v>
      </c>
    </row>
    <row r="21" spans="1:5" x14ac:dyDescent="0.2">
      <c r="A21" s="5" t="s">
        <v>397</v>
      </c>
      <c r="B21" s="5" t="s">
        <v>379</v>
      </c>
      <c r="C21" s="5" t="str">
        <f>masterlist!E20</f>
        <v>metall</v>
      </c>
      <c r="D21" s="5" t="str">
        <f t="shared" si="0"/>
        <v>Metall.mp4</v>
      </c>
      <c r="E21" s="7" t="str">
        <f t="shared" si="1"/>
        <v>Show 1.jpg</v>
      </c>
    </row>
    <row r="22" spans="1:5" x14ac:dyDescent="0.2">
      <c r="A22" s="5" t="s">
        <v>397</v>
      </c>
      <c r="B22" s="17" t="s">
        <v>344</v>
      </c>
      <c r="C22" s="5" t="str">
        <f>masterlist!E21</f>
        <v>telefon</v>
      </c>
      <c r="D22" s="5" t="str">
        <f t="shared" si="0"/>
        <v>Telefon.mp4</v>
      </c>
      <c r="E22" s="7" t="str">
        <f t="shared" si="1"/>
        <v>Sneeze 1.jpg</v>
      </c>
    </row>
    <row r="23" spans="1:5" x14ac:dyDescent="0.2">
      <c r="A23" s="5" t="s">
        <v>397</v>
      </c>
      <c r="B23" s="5" t="s">
        <v>254</v>
      </c>
      <c r="C23" s="5" t="str">
        <f>masterlist!E22</f>
        <v>hoppe</v>
      </c>
      <c r="D23" s="5" t="str">
        <f t="shared" si="0"/>
        <v>Hoppe.mp4</v>
      </c>
      <c r="E23" s="7" t="str">
        <f t="shared" si="1"/>
        <v>Travel 1.jpg</v>
      </c>
    </row>
    <row r="24" spans="1:5" x14ac:dyDescent="0.2">
      <c r="A24" s="5" t="s">
        <v>397</v>
      </c>
      <c r="B24" s="17" t="s">
        <v>351</v>
      </c>
      <c r="C24" s="5" t="str">
        <f>masterlist!E23</f>
        <v>stikke-av</v>
      </c>
      <c r="D24" s="5" t="str">
        <f t="shared" si="0"/>
        <v>Stikke-Av.mp4</v>
      </c>
      <c r="E24" s="7" t="str">
        <f t="shared" si="1"/>
        <v>Try 1.jpg</v>
      </c>
    </row>
    <row r="25" spans="1:5" x14ac:dyDescent="0.2">
      <c r="A25" s="5" t="s">
        <v>397</v>
      </c>
      <c r="B25" s="5" t="s">
        <v>358</v>
      </c>
      <c r="C25" s="5" t="str">
        <f>masterlist!E24</f>
        <v>miste</v>
      </c>
      <c r="D25" s="5" t="str">
        <f t="shared" si="0"/>
        <v>Miste.mp4</v>
      </c>
      <c r="E25" s="7" t="str">
        <f t="shared" si="1"/>
        <v>Wait 1.jpg</v>
      </c>
    </row>
    <row r="26" spans="1:5" x14ac:dyDescent="0.2">
      <c r="A26" s="5" t="s">
        <v>397</v>
      </c>
      <c r="B26" s="5" t="s">
        <v>386</v>
      </c>
      <c r="C26" s="5" t="str">
        <f>masterlist!E25</f>
        <v>ta</v>
      </c>
      <c r="D26" s="5" t="str">
        <f t="shared" si="0"/>
        <v>Ta.mp4</v>
      </c>
      <c r="E26" s="7" t="str">
        <f t="shared" si="1"/>
        <v>Win 1.jpg</v>
      </c>
    </row>
    <row r="27" spans="1:5" x14ac:dyDescent="0.2">
      <c r="A27" s="5" t="s">
        <v>397</v>
      </c>
      <c r="B27" s="5" t="s">
        <v>398</v>
      </c>
      <c r="C27" s="5" t="str">
        <f>masterlist!E26</f>
        <v>frosk</v>
      </c>
      <c r="D27" s="5" t="str">
        <f t="shared" si="0"/>
        <v>Frosk.mp4</v>
      </c>
      <c r="E27" s="7" t="str">
        <f t="shared" si="1"/>
        <v>Storage 1.jpg</v>
      </c>
    </row>
    <row r="28" spans="1:5" x14ac:dyDescent="0.2">
      <c r="A28" s="5" t="s">
        <v>397</v>
      </c>
      <c r="B28" s="5" t="s">
        <v>148</v>
      </c>
      <c r="C28" s="5" t="str">
        <f>masterlist!E27</f>
        <v>gorilla</v>
      </c>
      <c r="D28" s="5" t="str">
        <f t="shared" si="0"/>
        <v>Gorilla.mp4</v>
      </c>
      <c r="E28" s="7" t="str">
        <f t="shared" si="1"/>
        <v>Book 1.jpg</v>
      </c>
    </row>
    <row r="29" spans="1:5" x14ac:dyDescent="0.2">
      <c r="A29" s="5" t="s">
        <v>397</v>
      </c>
      <c r="B29" s="5" t="s">
        <v>30</v>
      </c>
      <c r="C29" s="5" t="str">
        <f>masterlist!E28</f>
        <v>komme</v>
      </c>
      <c r="D29" s="5" t="str">
        <f t="shared" si="0"/>
        <v>Komme.mp4</v>
      </c>
      <c r="E29" s="7" t="str">
        <f t="shared" si="1"/>
        <v>Boy 1.jpg</v>
      </c>
    </row>
    <row r="30" spans="1:5" x14ac:dyDescent="0.2">
      <c r="A30" s="5" t="s">
        <v>397</v>
      </c>
      <c r="B30" s="5" t="s">
        <v>44</v>
      </c>
      <c r="C30" s="5" t="str">
        <f>masterlist!E29</f>
        <v>seil-båt</v>
      </c>
      <c r="D30" s="5" t="str">
        <f t="shared" si="0"/>
        <v>Seil-Båt.mp4</v>
      </c>
      <c r="E30" s="7" t="str">
        <f t="shared" si="1"/>
        <v>Children 1.jpg</v>
      </c>
    </row>
    <row r="31" spans="1:5" x14ac:dyDescent="0.2">
      <c r="A31" s="5" t="s">
        <v>397</v>
      </c>
      <c r="B31" s="5" t="s">
        <v>156</v>
      </c>
      <c r="C31" s="5" t="str">
        <f>masterlist!E30</f>
        <v>reise</v>
      </c>
      <c r="D31" s="5" t="str">
        <f t="shared" si="0"/>
        <v>Reise.mp4</v>
      </c>
      <c r="E31" s="7" t="str">
        <f t="shared" si="1"/>
        <v>Coffee 1.jpg</v>
      </c>
    </row>
    <row r="32" spans="1:5" x14ac:dyDescent="0.2">
      <c r="A32" s="5" t="s">
        <v>397</v>
      </c>
      <c r="B32" s="5" t="s">
        <v>164</v>
      </c>
      <c r="C32" s="5" t="str">
        <f>masterlist!E31</f>
        <v>skeptisk</v>
      </c>
      <c r="D32" s="5" t="str">
        <f t="shared" si="0"/>
        <v>Skeptisk.mp4</v>
      </c>
      <c r="E32" s="7" t="str">
        <f t="shared" si="1"/>
        <v>Cigar 1.jpg</v>
      </c>
    </row>
    <row r="33" spans="1:5" x14ac:dyDescent="0.2">
      <c r="A33" s="5" t="s">
        <v>397</v>
      </c>
      <c r="B33" s="5" t="s">
        <v>53</v>
      </c>
      <c r="C33" s="5" t="str">
        <f>masterlist!E32</f>
        <v>spille</v>
      </c>
      <c r="D33" s="5" t="s">
        <v>117</v>
      </c>
      <c r="E33" s="7" t="str">
        <f t="shared" si="1"/>
        <v>Eagle 1.jpg</v>
      </c>
    </row>
    <row r="34" spans="1:5" x14ac:dyDescent="0.2">
      <c r="A34" s="5" t="s">
        <v>397</v>
      </c>
      <c r="B34" s="5" t="s">
        <v>60</v>
      </c>
      <c r="C34" s="5" t="str">
        <f>masterlist!E33</f>
        <v>forlovet</v>
      </c>
      <c r="D34" s="5" t="s">
        <v>247</v>
      </c>
      <c r="E34" s="7" t="str">
        <f t="shared" si="1"/>
        <v>Family 1.jpg</v>
      </c>
    </row>
    <row r="35" spans="1:5" x14ac:dyDescent="0.2">
      <c r="A35" s="5" t="s">
        <v>397</v>
      </c>
      <c r="B35" s="5" t="s">
        <v>171</v>
      </c>
      <c r="C35" s="5" t="str">
        <f>masterlist!E34</f>
        <v>farge</v>
      </c>
      <c r="D35" s="5" t="str">
        <f t="shared" ref="D35:D40" si="2">CONCATENATE(PROPER(C35),".mp4")</f>
        <v>Farge.mp4</v>
      </c>
      <c r="E35" s="7" t="str">
        <f t="shared" si="1"/>
        <v>Flower 1.jpg</v>
      </c>
    </row>
    <row r="36" spans="1:5" x14ac:dyDescent="0.2">
      <c r="A36" s="5" t="s">
        <v>397</v>
      </c>
      <c r="B36" s="5" t="s">
        <v>140</v>
      </c>
      <c r="C36" s="5" t="str">
        <f>masterlist!E35</f>
        <v>øst</v>
      </c>
      <c r="D36" s="5" t="str">
        <f t="shared" si="2"/>
        <v>Øst.mp4</v>
      </c>
      <c r="E36" s="7" t="str">
        <f t="shared" si="1"/>
        <v>Change 1.jpg</v>
      </c>
    </row>
    <row r="37" spans="1:5" x14ac:dyDescent="0.2">
      <c r="A37" s="5" t="s">
        <v>397</v>
      </c>
      <c r="B37" s="5" t="s">
        <v>178</v>
      </c>
      <c r="C37" s="5" t="str">
        <f>masterlist!E36</f>
        <v>skole</v>
      </c>
      <c r="D37" s="5" t="str">
        <f t="shared" si="2"/>
        <v>Skole.mp4</v>
      </c>
      <c r="E37" s="7" t="str">
        <f t="shared" si="1"/>
        <v>Metal 1.jpg</v>
      </c>
    </row>
    <row r="38" spans="1:5" x14ac:dyDescent="0.2">
      <c r="A38" s="5" t="s">
        <v>397</v>
      </c>
      <c r="B38" s="5" t="s">
        <v>185</v>
      </c>
      <c r="C38" s="5" t="str">
        <f>masterlist!E37</f>
        <v>vondt</v>
      </c>
      <c r="D38" s="5" t="str">
        <f t="shared" si="2"/>
        <v>Vondt.mp4</v>
      </c>
      <c r="E38" s="7" t="str">
        <f t="shared" si="1"/>
        <v>Telephone 1.jpg</v>
      </c>
    </row>
    <row r="39" spans="1:5" x14ac:dyDescent="0.2">
      <c r="A39" s="5" t="s">
        <v>397</v>
      </c>
      <c r="B39" s="5" t="s">
        <v>67</v>
      </c>
      <c r="C39" s="5" t="str">
        <f>masterlist!E38</f>
        <v>kåle</v>
      </c>
      <c r="D39" s="5" t="str">
        <f t="shared" si="2"/>
        <v>Kåle.mp4</v>
      </c>
      <c r="E39" s="7" t="str">
        <f t="shared" si="1"/>
        <v>Breathe 1.jpg</v>
      </c>
    </row>
    <row r="40" spans="1:5" x14ac:dyDescent="0.2">
      <c r="A40" s="5" t="s">
        <v>397</v>
      </c>
      <c r="B40" s="5" t="s">
        <v>77</v>
      </c>
      <c r="C40" s="5" t="str">
        <f>masterlist!E39</f>
        <v>dukke</v>
      </c>
      <c r="D40" s="5" t="str">
        <f t="shared" si="2"/>
        <v>Dukke.mp4</v>
      </c>
      <c r="E40" s="7" t="str">
        <f t="shared" si="1"/>
        <v>Cry 1.jpg</v>
      </c>
    </row>
    <row r="41" spans="1:5" x14ac:dyDescent="0.2">
      <c r="A41" s="5" t="s">
        <v>397</v>
      </c>
      <c r="B41" s="5" t="s">
        <v>192</v>
      </c>
      <c r="C41" s="5" t="str">
        <f>masterlist!E40</f>
        <v>dagbladet</v>
      </c>
      <c r="D41" s="5" t="s">
        <v>201</v>
      </c>
      <c r="E41" s="7" t="str">
        <f t="shared" si="1"/>
        <v>Jump 1.jpg</v>
      </c>
    </row>
    <row r="42" spans="1:5" x14ac:dyDescent="0.2">
      <c r="A42" s="5" t="s">
        <v>397</v>
      </c>
      <c r="B42" s="5" t="s">
        <v>200</v>
      </c>
      <c r="C42" s="5" t="str">
        <f>masterlist!E41</f>
        <v>sirkel</v>
      </c>
      <c r="D42" s="5" t="str">
        <f t="shared" ref="D42:D50" si="3">CONCATENATE(PROPER(C42),".mp4")</f>
        <v>Sirkel.mp4</v>
      </c>
      <c r="E42" s="7" t="str">
        <f t="shared" si="1"/>
        <v>Leave 1.jpg</v>
      </c>
    </row>
    <row r="43" spans="1:5" x14ac:dyDescent="0.2">
      <c r="A43" s="5" t="s">
        <v>397</v>
      </c>
      <c r="B43" s="5" t="s">
        <v>208</v>
      </c>
      <c r="C43" s="5" t="str">
        <f>masterlist!E42</f>
        <v>salt</v>
      </c>
      <c r="D43" s="5" t="str">
        <f t="shared" si="3"/>
        <v>Salt.mp4</v>
      </c>
      <c r="E43" s="7" t="str">
        <f t="shared" si="1"/>
        <v>Lose 1.jpg</v>
      </c>
    </row>
    <row r="44" spans="1:5" x14ac:dyDescent="0.2">
      <c r="A44" s="5" t="s">
        <v>397</v>
      </c>
      <c r="B44" s="5" t="s">
        <v>108</v>
      </c>
      <c r="C44" s="5" t="str">
        <f>masterlist!E43</f>
        <v>nyse</v>
      </c>
      <c r="D44" s="5" t="str">
        <f t="shared" si="3"/>
        <v>Nyse.mp4</v>
      </c>
      <c r="E44" s="7" t="str">
        <f t="shared" si="1"/>
        <v>Paint 1.jpg</v>
      </c>
    </row>
    <row r="45" spans="1:5" x14ac:dyDescent="0.2">
      <c r="A45" s="5" t="s">
        <v>397</v>
      </c>
      <c r="B45" s="5" t="s">
        <v>85</v>
      </c>
      <c r="C45" s="5" t="str">
        <f>masterlist!E44</f>
        <v>prøve</v>
      </c>
      <c r="D45" s="5" t="str">
        <f t="shared" si="3"/>
        <v>Prøve.mp4</v>
      </c>
      <c r="E45" s="7" t="str">
        <f t="shared" si="1"/>
        <v>Run 1.jpg</v>
      </c>
    </row>
    <row r="46" spans="1:5" x14ac:dyDescent="0.2">
      <c r="A46" s="5" t="s">
        <v>397</v>
      </c>
      <c r="B46" s="5" t="s">
        <v>93</v>
      </c>
      <c r="C46" s="5" t="str">
        <f>masterlist!E45</f>
        <v>vente</v>
      </c>
      <c r="D46" s="5" t="str">
        <f t="shared" si="3"/>
        <v>Vente.mp4</v>
      </c>
      <c r="E46" s="7" t="str">
        <f t="shared" si="1"/>
        <v>Sing 1.jpg</v>
      </c>
    </row>
    <row r="47" spans="1:5" x14ac:dyDescent="0.2">
      <c r="A47" s="5" t="s">
        <v>397</v>
      </c>
      <c r="B47" s="5" t="s">
        <v>216</v>
      </c>
      <c r="C47" s="5" t="str">
        <f>masterlist!E46</f>
        <v>rope</v>
      </c>
      <c r="D47" s="5" t="str">
        <f t="shared" si="3"/>
        <v>Rope.mp4</v>
      </c>
      <c r="E47" s="7" t="str">
        <f t="shared" si="1"/>
        <v>Take 1.jpg</v>
      </c>
    </row>
    <row r="48" spans="1:5" x14ac:dyDescent="0.2">
      <c r="A48" s="5" t="s">
        <v>397</v>
      </c>
      <c r="B48" s="5" t="s">
        <v>100</v>
      </c>
      <c r="C48" s="5" t="str">
        <f>masterlist!E47</f>
        <v>velge</v>
      </c>
      <c r="D48" s="5" t="str">
        <f t="shared" si="3"/>
        <v>Velge.mp4</v>
      </c>
      <c r="E48" s="7" t="str">
        <f t="shared" si="1"/>
        <v>Think 1.jpg</v>
      </c>
    </row>
    <row r="49" spans="1:5" x14ac:dyDescent="0.2">
      <c r="A49" s="5" t="s">
        <v>397</v>
      </c>
      <c r="B49" s="13" t="s">
        <v>116</v>
      </c>
      <c r="C49" s="5" t="str">
        <f>masterlist!E48</f>
        <v>vise</v>
      </c>
      <c r="D49" s="5" t="str">
        <f t="shared" si="3"/>
        <v>Vise.mp4</v>
      </c>
      <c r="E49" s="7" t="str">
        <f t="shared" si="1"/>
        <v>Watch 1.jpg</v>
      </c>
    </row>
    <row r="50" spans="1:5" x14ac:dyDescent="0.2">
      <c r="A50" s="5" t="s">
        <v>397</v>
      </c>
      <c r="B50" s="5" t="s">
        <v>124</v>
      </c>
      <c r="C50" s="5" t="str">
        <f>masterlist!E49</f>
        <v>vinne</v>
      </c>
      <c r="D50" s="5" t="str">
        <f t="shared" si="3"/>
        <v>Vinne.mp4</v>
      </c>
      <c r="E50" s="7" t="str">
        <f t="shared" si="1"/>
        <v>Write 1.jpg</v>
      </c>
    </row>
    <row r="51" spans="1:5" x14ac:dyDescent="0.2">
      <c r="A51" s="5" t="s">
        <v>399</v>
      </c>
      <c r="E51" s="22"/>
    </row>
    <row r="52" spans="1:5" x14ac:dyDescent="0.2">
      <c r="E52" s="22"/>
    </row>
    <row r="53" spans="1:5" x14ac:dyDescent="0.2">
      <c r="E53" s="7"/>
    </row>
    <row r="54" spans="1:5" x14ac:dyDescent="0.2">
      <c r="E54" s="7"/>
    </row>
    <row r="55" spans="1:5" x14ac:dyDescent="0.2">
      <c r="E55" s="22"/>
    </row>
    <row r="56" spans="1:5" x14ac:dyDescent="0.2">
      <c r="E56" s="22"/>
    </row>
    <row r="57" spans="1:5" x14ac:dyDescent="0.2">
      <c r="E57" s="22"/>
    </row>
    <row r="58" spans="1:5" x14ac:dyDescent="0.2">
      <c r="E58" s="22"/>
    </row>
    <row r="59" spans="1:5" x14ac:dyDescent="0.2">
      <c r="E59" s="22"/>
    </row>
    <row r="60" spans="1:5" x14ac:dyDescent="0.2">
      <c r="E60" s="22"/>
    </row>
    <row r="61" spans="1:5" x14ac:dyDescent="0.2">
      <c r="E61" s="22"/>
    </row>
    <row r="62" spans="1:5" x14ac:dyDescent="0.2">
      <c r="E62" s="22"/>
    </row>
    <row r="63" spans="1:5" x14ac:dyDescent="0.2">
      <c r="E63" s="22"/>
    </row>
    <row r="64" spans="1:5" x14ac:dyDescent="0.2">
      <c r="E64" s="22"/>
    </row>
    <row r="65" spans="5:5" x14ac:dyDescent="0.2">
      <c r="E65" s="22"/>
    </row>
    <row r="66" spans="5:5" x14ac:dyDescent="0.2">
      <c r="E66" s="22"/>
    </row>
    <row r="67" spans="5:5" x14ac:dyDescent="0.2">
      <c r="E67" s="22"/>
    </row>
    <row r="68" spans="5:5" x14ac:dyDescent="0.2">
      <c r="E68" s="22"/>
    </row>
    <row r="69" spans="5:5" x14ac:dyDescent="0.2">
      <c r="E69" s="22"/>
    </row>
    <row r="70" spans="5:5" x14ac:dyDescent="0.2">
      <c r="E70" s="22"/>
    </row>
    <row r="71" spans="5:5" x14ac:dyDescent="0.2">
      <c r="E71" s="22"/>
    </row>
    <row r="72" spans="5:5" x14ac:dyDescent="0.2">
      <c r="E72" s="22"/>
    </row>
    <row r="73" spans="5:5" x14ac:dyDescent="0.2">
      <c r="E73" s="22"/>
    </row>
    <row r="74" spans="5:5" x14ac:dyDescent="0.2">
      <c r="E74" s="22"/>
    </row>
    <row r="75" spans="5:5" x14ac:dyDescent="0.2">
      <c r="E75" s="22"/>
    </row>
    <row r="76" spans="5:5" x14ac:dyDescent="0.2">
      <c r="E76" s="22"/>
    </row>
    <row r="77" spans="5:5" x14ac:dyDescent="0.2">
      <c r="E77" s="22"/>
    </row>
    <row r="78" spans="5:5" x14ac:dyDescent="0.2">
      <c r="E78" s="22"/>
    </row>
    <row r="79" spans="5:5" x14ac:dyDescent="0.2">
      <c r="E79" s="22"/>
    </row>
    <row r="80" spans="5:5" x14ac:dyDescent="0.2">
      <c r="E80" s="22"/>
    </row>
    <row r="81" spans="5:5" x14ac:dyDescent="0.2">
      <c r="E81" s="22"/>
    </row>
    <row r="82" spans="5:5" x14ac:dyDescent="0.2">
      <c r="E82" s="22"/>
    </row>
    <row r="83" spans="5:5" x14ac:dyDescent="0.2">
      <c r="E83" s="22"/>
    </row>
    <row r="84" spans="5:5" x14ac:dyDescent="0.2">
      <c r="E84" s="22"/>
    </row>
    <row r="85" spans="5:5" x14ac:dyDescent="0.2">
      <c r="E85" s="22"/>
    </row>
    <row r="86" spans="5:5" x14ac:dyDescent="0.2">
      <c r="E86" s="22"/>
    </row>
    <row r="87" spans="5:5" x14ac:dyDescent="0.2">
      <c r="E87" s="22"/>
    </row>
    <row r="88" spans="5:5" x14ac:dyDescent="0.2">
      <c r="E88" s="22"/>
    </row>
    <row r="89" spans="5:5" x14ac:dyDescent="0.2">
      <c r="E89" s="22"/>
    </row>
    <row r="90" spans="5:5" x14ac:dyDescent="0.2">
      <c r="E90" s="22"/>
    </row>
    <row r="91" spans="5:5" x14ac:dyDescent="0.2">
      <c r="E91" s="22"/>
    </row>
    <row r="92" spans="5:5" x14ac:dyDescent="0.2">
      <c r="E92" s="22"/>
    </row>
    <row r="93" spans="5:5" x14ac:dyDescent="0.2">
      <c r="E93" s="22"/>
    </row>
    <row r="94" spans="5:5" x14ac:dyDescent="0.2">
      <c r="E94" s="22"/>
    </row>
    <row r="95" spans="5:5" x14ac:dyDescent="0.2">
      <c r="E95" s="22"/>
    </row>
    <row r="96" spans="5:5" x14ac:dyDescent="0.2">
      <c r="E96" s="22"/>
    </row>
    <row r="97" spans="5:5" x14ac:dyDescent="0.2">
      <c r="E97" s="22"/>
    </row>
    <row r="98" spans="5:5" x14ac:dyDescent="0.2">
      <c r="E98" s="22"/>
    </row>
    <row r="99" spans="5:5" x14ac:dyDescent="0.2">
      <c r="E99" s="22"/>
    </row>
    <row r="100" spans="5:5" x14ac:dyDescent="0.2">
      <c r="E100" s="22"/>
    </row>
    <row r="101" spans="5:5" x14ac:dyDescent="0.2">
      <c r="E101" s="22"/>
    </row>
    <row r="102" spans="5:5" x14ac:dyDescent="0.2">
      <c r="E102" s="22"/>
    </row>
    <row r="103" spans="5:5" x14ac:dyDescent="0.2">
      <c r="E103" s="22"/>
    </row>
    <row r="104" spans="5:5" x14ac:dyDescent="0.2">
      <c r="E104" s="22"/>
    </row>
    <row r="105" spans="5:5" x14ac:dyDescent="0.2">
      <c r="E105" s="22"/>
    </row>
    <row r="106" spans="5:5" x14ac:dyDescent="0.2">
      <c r="E106" s="22"/>
    </row>
    <row r="107" spans="5:5" x14ac:dyDescent="0.2">
      <c r="E107" s="22"/>
    </row>
    <row r="108" spans="5:5" x14ac:dyDescent="0.2">
      <c r="E108" s="22"/>
    </row>
    <row r="109" spans="5:5" x14ac:dyDescent="0.2">
      <c r="E109" s="22"/>
    </row>
    <row r="110" spans="5:5" x14ac:dyDescent="0.2">
      <c r="E110" s="22"/>
    </row>
    <row r="111" spans="5:5" x14ac:dyDescent="0.2">
      <c r="E111" s="22"/>
    </row>
    <row r="112" spans="5:5" x14ac:dyDescent="0.2">
      <c r="E112" s="22"/>
    </row>
    <row r="113" spans="5:5" x14ac:dyDescent="0.2">
      <c r="E113" s="22"/>
    </row>
    <row r="114" spans="5:5" x14ac:dyDescent="0.2">
      <c r="E114" s="22"/>
    </row>
    <row r="115" spans="5:5" x14ac:dyDescent="0.2">
      <c r="E115" s="22"/>
    </row>
    <row r="116" spans="5:5" x14ac:dyDescent="0.2">
      <c r="E116" s="22"/>
    </row>
    <row r="117" spans="5:5" x14ac:dyDescent="0.2">
      <c r="E117" s="22"/>
    </row>
    <row r="118" spans="5:5" x14ac:dyDescent="0.2">
      <c r="E118" s="22"/>
    </row>
    <row r="119" spans="5:5" x14ac:dyDescent="0.2">
      <c r="E119" s="22"/>
    </row>
    <row r="120" spans="5:5" x14ac:dyDescent="0.2">
      <c r="E120" s="22"/>
    </row>
    <row r="121" spans="5:5" x14ac:dyDescent="0.2">
      <c r="E121" s="22"/>
    </row>
    <row r="122" spans="5:5" x14ac:dyDescent="0.2">
      <c r="E122" s="22"/>
    </row>
    <row r="123" spans="5:5" x14ac:dyDescent="0.2">
      <c r="E123" s="22"/>
    </row>
    <row r="124" spans="5:5" x14ac:dyDescent="0.2">
      <c r="E124" s="22"/>
    </row>
    <row r="125" spans="5:5" x14ac:dyDescent="0.2">
      <c r="E125" s="22"/>
    </row>
    <row r="126" spans="5:5" x14ac:dyDescent="0.2">
      <c r="E126" s="22"/>
    </row>
    <row r="127" spans="5:5" x14ac:dyDescent="0.2">
      <c r="E127" s="22"/>
    </row>
    <row r="128" spans="5:5" x14ac:dyDescent="0.2">
      <c r="E128" s="22"/>
    </row>
    <row r="129" spans="5:5" x14ac:dyDescent="0.2">
      <c r="E129" s="22"/>
    </row>
    <row r="130" spans="5:5" x14ac:dyDescent="0.2">
      <c r="E130" s="22"/>
    </row>
    <row r="131" spans="5:5" x14ac:dyDescent="0.2">
      <c r="E131" s="22"/>
    </row>
    <row r="132" spans="5:5" x14ac:dyDescent="0.2">
      <c r="E132" s="22"/>
    </row>
    <row r="133" spans="5:5" x14ac:dyDescent="0.2">
      <c r="E133" s="22"/>
    </row>
    <row r="134" spans="5:5" x14ac:dyDescent="0.2">
      <c r="E134" s="22"/>
    </row>
    <row r="135" spans="5:5" x14ac:dyDescent="0.2">
      <c r="E135" s="22"/>
    </row>
    <row r="136" spans="5:5" x14ac:dyDescent="0.2">
      <c r="E136" s="22"/>
    </row>
    <row r="137" spans="5:5" x14ac:dyDescent="0.2">
      <c r="E137" s="22"/>
    </row>
    <row r="138" spans="5:5" x14ac:dyDescent="0.2">
      <c r="E138" s="22"/>
    </row>
    <row r="139" spans="5:5" x14ac:dyDescent="0.2">
      <c r="E139" s="22"/>
    </row>
    <row r="140" spans="5:5" x14ac:dyDescent="0.2">
      <c r="E140" s="22"/>
    </row>
    <row r="141" spans="5:5" x14ac:dyDescent="0.2">
      <c r="E141" s="22"/>
    </row>
    <row r="142" spans="5:5" x14ac:dyDescent="0.2">
      <c r="E142" s="22"/>
    </row>
    <row r="143" spans="5:5" x14ac:dyDescent="0.2">
      <c r="E143" s="22"/>
    </row>
    <row r="144" spans="5:5" x14ac:dyDescent="0.2">
      <c r="E144" s="22"/>
    </row>
    <row r="145" spans="5:5" x14ac:dyDescent="0.2">
      <c r="E145" s="22"/>
    </row>
    <row r="146" spans="5:5" x14ac:dyDescent="0.2">
      <c r="E146" s="22"/>
    </row>
    <row r="147" spans="5:5" x14ac:dyDescent="0.2">
      <c r="E147" s="22"/>
    </row>
    <row r="148" spans="5:5" x14ac:dyDescent="0.2">
      <c r="E148" s="22"/>
    </row>
    <row r="149" spans="5:5" x14ac:dyDescent="0.2">
      <c r="E149" s="22"/>
    </row>
    <row r="150" spans="5:5" x14ac:dyDescent="0.2">
      <c r="E150" s="22"/>
    </row>
    <row r="151" spans="5:5" x14ac:dyDescent="0.2">
      <c r="E151" s="22"/>
    </row>
    <row r="152" spans="5:5" x14ac:dyDescent="0.2">
      <c r="E152" s="22"/>
    </row>
    <row r="153" spans="5:5" x14ac:dyDescent="0.2">
      <c r="E153" s="22"/>
    </row>
    <row r="154" spans="5:5" x14ac:dyDescent="0.2">
      <c r="E154" s="22"/>
    </row>
    <row r="155" spans="5:5" x14ac:dyDescent="0.2">
      <c r="E155" s="22"/>
    </row>
    <row r="156" spans="5:5" x14ac:dyDescent="0.2">
      <c r="E156" s="22"/>
    </row>
    <row r="157" spans="5:5" x14ac:dyDescent="0.2">
      <c r="E157" s="22"/>
    </row>
    <row r="158" spans="5:5" x14ac:dyDescent="0.2">
      <c r="E158" s="22"/>
    </row>
    <row r="159" spans="5:5" x14ac:dyDescent="0.2">
      <c r="E159" s="22"/>
    </row>
    <row r="160" spans="5:5" x14ac:dyDescent="0.2">
      <c r="E160" s="22"/>
    </row>
    <row r="161" spans="5:5" x14ac:dyDescent="0.2">
      <c r="E161" s="22"/>
    </row>
    <row r="162" spans="5:5" x14ac:dyDescent="0.2">
      <c r="E162" s="22"/>
    </row>
    <row r="163" spans="5:5" x14ac:dyDescent="0.2">
      <c r="E163" s="22"/>
    </row>
    <row r="164" spans="5:5" x14ac:dyDescent="0.2">
      <c r="E164" s="22"/>
    </row>
    <row r="165" spans="5:5" x14ac:dyDescent="0.2">
      <c r="E165" s="22"/>
    </row>
    <row r="166" spans="5:5" x14ac:dyDescent="0.2">
      <c r="E166" s="22"/>
    </row>
    <row r="167" spans="5:5" x14ac:dyDescent="0.2">
      <c r="E167" s="22"/>
    </row>
    <row r="168" spans="5:5" x14ac:dyDescent="0.2">
      <c r="E168" s="22"/>
    </row>
    <row r="169" spans="5:5" x14ac:dyDescent="0.2">
      <c r="E169" s="22"/>
    </row>
    <row r="170" spans="5:5" x14ac:dyDescent="0.2">
      <c r="E170" s="22"/>
    </row>
    <row r="171" spans="5:5" x14ac:dyDescent="0.2">
      <c r="E171" s="22"/>
    </row>
    <row r="172" spans="5:5" x14ac:dyDescent="0.2">
      <c r="E172" s="22"/>
    </row>
    <row r="173" spans="5:5" x14ac:dyDescent="0.2">
      <c r="E173" s="22"/>
    </row>
    <row r="174" spans="5:5" x14ac:dyDescent="0.2">
      <c r="E174" s="22"/>
    </row>
    <row r="175" spans="5:5" x14ac:dyDescent="0.2">
      <c r="E175" s="22"/>
    </row>
    <row r="176" spans="5:5" x14ac:dyDescent="0.2">
      <c r="E176" s="22"/>
    </row>
    <row r="177" spans="5:5" x14ac:dyDescent="0.2">
      <c r="E177" s="22"/>
    </row>
    <row r="178" spans="5:5" x14ac:dyDescent="0.2">
      <c r="E178" s="22"/>
    </row>
    <row r="179" spans="5:5" x14ac:dyDescent="0.2">
      <c r="E179" s="22"/>
    </row>
    <row r="180" spans="5:5" x14ac:dyDescent="0.2">
      <c r="E180" s="22"/>
    </row>
    <row r="181" spans="5:5" x14ac:dyDescent="0.2">
      <c r="E181" s="22"/>
    </row>
    <row r="182" spans="5:5" x14ac:dyDescent="0.2">
      <c r="E182" s="22"/>
    </row>
    <row r="183" spans="5:5" x14ac:dyDescent="0.2">
      <c r="E183" s="22"/>
    </row>
    <row r="184" spans="5:5" x14ac:dyDescent="0.2">
      <c r="E184" s="22"/>
    </row>
    <row r="185" spans="5:5" x14ac:dyDescent="0.2">
      <c r="E185" s="22"/>
    </row>
    <row r="186" spans="5:5" x14ac:dyDescent="0.2">
      <c r="E186" s="22"/>
    </row>
    <row r="187" spans="5:5" x14ac:dyDescent="0.2">
      <c r="E187" s="22"/>
    </row>
    <row r="188" spans="5:5" x14ac:dyDescent="0.2">
      <c r="E188" s="22"/>
    </row>
    <row r="189" spans="5:5" x14ac:dyDescent="0.2">
      <c r="E189" s="22"/>
    </row>
    <row r="190" spans="5:5" x14ac:dyDescent="0.2">
      <c r="E190" s="22"/>
    </row>
    <row r="191" spans="5:5" x14ac:dyDescent="0.2">
      <c r="E191" s="22"/>
    </row>
    <row r="192" spans="5:5" x14ac:dyDescent="0.2">
      <c r="E192" s="22"/>
    </row>
    <row r="193" spans="5:5" x14ac:dyDescent="0.2">
      <c r="E193" s="22"/>
    </row>
    <row r="194" spans="5:5" x14ac:dyDescent="0.2">
      <c r="E194" s="22"/>
    </row>
    <row r="195" spans="5:5" x14ac:dyDescent="0.2">
      <c r="E195" s="22"/>
    </row>
    <row r="196" spans="5:5" x14ac:dyDescent="0.2">
      <c r="E196" s="22"/>
    </row>
    <row r="197" spans="5:5" x14ac:dyDescent="0.2">
      <c r="E197" s="22"/>
    </row>
    <row r="198" spans="5:5" x14ac:dyDescent="0.2">
      <c r="E198" s="22"/>
    </row>
    <row r="199" spans="5:5" x14ac:dyDescent="0.2">
      <c r="E199" s="22"/>
    </row>
    <row r="200" spans="5:5" x14ac:dyDescent="0.2">
      <c r="E200" s="22"/>
    </row>
    <row r="201" spans="5:5" x14ac:dyDescent="0.2">
      <c r="E201" s="22"/>
    </row>
    <row r="202" spans="5:5" x14ac:dyDescent="0.2">
      <c r="E202" s="22"/>
    </row>
    <row r="203" spans="5:5" x14ac:dyDescent="0.2">
      <c r="E203" s="22"/>
    </row>
    <row r="204" spans="5:5" x14ac:dyDescent="0.2">
      <c r="E204" s="22"/>
    </row>
    <row r="205" spans="5:5" x14ac:dyDescent="0.2">
      <c r="E205" s="22"/>
    </row>
    <row r="206" spans="5:5" x14ac:dyDescent="0.2">
      <c r="E206" s="22"/>
    </row>
    <row r="207" spans="5:5" x14ac:dyDescent="0.2">
      <c r="E207" s="22"/>
    </row>
    <row r="208" spans="5:5" x14ac:dyDescent="0.2">
      <c r="E208" s="22"/>
    </row>
    <row r="209" spans="5:5" x14ac:dyDescent="0.2">
      <c r="E209" s="22"/>
    </row>
    <row r="210" spans="5:5" x14ac:dyDescent="0.2">
      <c r="E210" s="22"/>
    </row>
    <row r="211" spans="5:5" x14ac:dyDescent="0.2">
      <c r="E211" s="22"/>
    </row>
    <row r="212" spans="5:5" x14ac:dyDescent="0.2">
      <c r="E212" s="22"/>
    </row>
    <row r="213" spans="5:5" x14ac:dyDescent="0.2">
      <c r="E213" s="22"/>
    </row>
    <row r="214" spans="5:5" x14ac:dyDescent="0.2">
      <c r="E214" s="22"/>
    </row>
    <row r="215" spans="5:5" x14ac:dyDescent="0.2">
      <c r="E215" s="22"/>
    </row>
    <row r="216" spans="5:5" x14ac:dyDescent="0.2">
      <c r="E216" s="22"/>
    </row>
    <row r="217" spans="5:5" x14ac:dyDescent="0.2">
      <c r="E217" s="22"/>
    </row>
    <row r="218" spans="5:5" x14ac:dyDescent="0.2">
      <c r="E218" s="22"/>
    </row>
    <row r="219" spans="5:5" x14ac:dyDescent="0.2">
      <c r="E219" s="22"/>
    </row>
    <row r="220" spans="5:5" x14ac:dyDescent="0.2">
      <c r="E220" s="22"/>
    </row>
    <row r="221" spans="5:5" x14ac:dyDescent="0.2">
      <c r="E221" s="22"/>
    </row>
    <row r="222" spans="5:5" x14ac:dyDescent="0.2">
      <c r="E222" s="22"/>
    </row>
    <row r="223" spans="5:5" x14ac:dyDescent="0.2">
      <c r="E223" s="22"/>
    </row>
    <row r="224" spans="5:5" x14ac:dyDescent="0.2">
      <c r="E224" s="22"/>
    </row>
    <row r="225" spans="5:5" x14ac:dyDescent="0.2">
      <c r="E225" s="22"/>
    </row>
    <row r="226" spans="5:5" x14ac:dyDescent="0.2">
      <c r="E226" s="22"/>
    </row>
    <row r="227" spans="5:5" x14ac:dyDescent="0.2">
      <c r="E227" s="22"/>
    </row>
    <row r="228" spans="5:5" x14ac:dyDescent="0.2">
      <c r="E228" s="22"/>
    </row>
    <row r="229" spans="5:5" x14ac:dyDescent="0.2">
      <c r="E229" s="22"/>
    </row>
    <row r="230" spans="5:5" x14ac:dyDescent="0.2">
      <c r="E230" s="22"/>
    </row>
    <row r="231" spans="5:5" x14ac:dyDescent="0.2">
      <c r="E231" s="22"/>
    </row>
    <row r="232" spans="5:5" x14ac:dyDescent="0.2">
      <c r="E232" s="22"/>
    </row>
    <row r="233" spans="5:5" x14ac:dyDescent="0.2">
      <c r="E233" s="22"/>
    </row>
    <row r="234" spans="5:5" x14ac:dyDescent="0.2">
      <c r="E234" s="22"/>
    </row>
    <row r="235" spans="5:5" x14ac:dyDescent="0.2">
      <c r="E235" s="22"/>
    </row>
    <row r="236" spans="5:5" x14ac:dyDescent="0.2">
      <c r="E236" s="22"/>
    </row>
    <row r="237" spans="5:5" x14ac:dyDescent="0.2">
      <c r="E237" s="22"/>
    </row>
    <row r="238" spans="5:5" x14ac:dyDescent="0.2">
      <c r="E238" s="22"/>
    </row>
    <row r="239" spans="5:5" x14ac:dyDescent="0.2">
      <c r="E239" s="22"/>
    </row>
    <row r="240" spans="5:5" x14ac:dyDescent="0.2">
      <c r="E240" s="22"/>
    </row>
    <row r="241" spans="5:5" x14ac:dyDescent="0.2">
      <c r="E241" s="22"/>
    </row>
    <row r="242" spans="5:5" x14ac:dyDescent="0.2">
      <c r="E242" s="22"/>
    </row>
    <row r="243" spans="5:5" x14ac:dyDescent="0.2">
      <c r="E243" s="22"/>
    </row>
    <row r="244" spans="5:5" x14ac:dyDescent="0.2">
      <c r="E244" s="22"/>
    </row>
    <row r="245" spans="5:5" x14ac:dyDescent="0.2">
      <c r="E245" s="22"/>
    </row>
    <row r="246" spans="5:5" x14ac:dyDescent="0.2">
      <c r="E246" s="22"/>
    </row>
    <row r="247" spans="5:5" x14ac:dyDescent="0.2">
      <c r="E247" s="22"/>
    </row>
    <row r="248" spans="5:5" x14ac:dyDescent="0.2">
      <c r="E248" s="22"/>
    </row>
    <row r="249" spans="5:5" x14ac:dyDescent="0.2">
      <c r="E249" s="22"/>
    </row>
    <row r="250" spans="5:5" x14ac:dyDescent="0.2">
      <c r="E250" s="22"/>
    </row>
    <row r="251" spans="5:5" x14ac:dyDescent="0.2">
      <c r="E251" s="22"/>
    </row>
    <row r="252" spans="5:5" x14ac:dyDescent="0.2">
      <c r="E252" s="22"/>
    </row>
    <row r="253" spans="5:5" x14ac:dyDescent="0.2">
      <c r="E253" s="22"/>
    </row>
    <row r="254" spans="5:5" x14ac:dyDescent="0.2">
      <c r="E254" s="22"/>
    </row>
    <row r="255" spans="5:5" x14ac:dyDescent="0.2">
      <c r="E255" s="22"/>
    </row>
    <row r="256" spans="5:5" x14ac:dyDescent="0.2">
      <c r="E256" s="22"/>
    </row>
    <row r="257" spans="5:5" x14ac:dyDescent="0.2">
      <c r="E257" s="22"/>
    </row>
    <row r="258" spans="5:5" x14ac:dyDescent="0.2">
      <c r="E258" s="22"/>
    </row>
    <row r="259" spans="5:5" x14ac:dyDescent="0.2">
      <c r="E259" s="22"/>
    </row>
    <row r="260" spans="5:5" x14ac:dyDescent="0.2">
      <c r="E260" s="22"/>
    </row>
    <row r="261" spans="5:5" x14ac:dyDescent="0.2">
      <c r="E261" s="22"/>
    </row>
    <row r="262" spans="5:5" x14ac:dyDescent="0.2">
      <c r="E262" s="22"/>
    </row>
    <row r="263" spans="5:5" x14ac:dyDescent="0.2">
      <c r="E263" s="22"/>
    </row>
    <row r="264" spans="5:5" x14ac:dyDescent="0.2">
      <c r="E264" s="22"/>
    </row>
    <row r="265" spans="5:5" x14ac:dyDescent="0.2">
      <c r="E265" s="22"/>
    </row>
    <row r="266" spans="5:5" x14ac:dyDescent="0.2">
      <c r="E266" s="22"/>
    </row>
    <row r="267" spans="5:5" x14ac:dyDescent="0.2">
      <c r="E267" s="22"/>
    </row>
    <row r="268" spans="5:5" x14ac:dyDescent="0.2">
      <c r="E268" s="22"/>
    </row>
    <row r="269" spans="5:5" x14ac:dyDescent="0.2">
      <c r="E269" s="22"/>
    </row>
    <row r="270" spans="5:5" x14ac:dyDescent="0.2">
      <c r="E270" s="22"/>
    </row>
    <row r="271" spans="5:5" x14ac:dyDescent="0.2">
      <c r="E271" s="22"/>
    </row>
    <row r="272" spans="5:5" x14ac:dyDescent="0.2">
      <c r="E272" s="22"/>
    </row>
    <row r="273" spans="5:5" x14ac:dyDescent="0.2">
      <c r="E273" s="22"/>
    </row>
    <row r="274" spans="5:5" x14ac:dyDescent="0.2">
      <c r="E274" s="22"/>
    </row>
    <row r="275" spans="5:5" x14ac:dyDescent="0.2">
      <c r="E275" s="22"/>
    </row>
    <row r="276" spans="5:5" x14ac:dyDescent="0.2">
      <c r="E276" s="22"/>
    </row>
    <row r="277" spans="5:5" x14ac:dyDescent="0.2">
      <c r="E277" s="22"/>
    </row>
    <row r="278" spans="5:5" x14ac:dyDescent="0.2">
      <c r="E278" s="22"/>
    </row>
    <row r="279" spans="5:5" x14ac:dyDescent="0.2">
      <c r="E279" s="22"/>
    </row>
    <row r="280" spans="5:5" x14ac:dyDescent="0.2">
      <c r="E280" s="22"/>
    </row>
    <row r="281" spans="5:5" x14ac:dyDescent="0.2">
      <c r="E281" s="22"/>
    </row>
    <row r="282" spans="5:5" x14ac:dyDescent="0.2">
      <c r="E282" s="22"/>
    </row>
    <row r="283" spans="5:5" x14ac:dyDescent="0.2">
      <c r="E283" s="22"/>
    </row>
    <row r="284" spans="5:5" x14ac:dyDescent="0.2">
      <c r="E284" s="22"/>
    </row>
    <row r="285" spans="5:5" x14ac:dyDescent="0.2">
      <c r="E285" s="22"/>
    </row>
    <row r="286" spans="5:5" x14ac:dyDescent="0.2">
      <c r="E286" s="22"/>
    </row>
    <row r="287" spans="5:5" x14ac:dyDescent="0.2">
      <c r="E287" s="22"/>
    </row>
    <row r="288" spans="5:5" x14ac:dyDescent="0.2">
      <c r="E288" s="22"/>
    </row>
    <row r="289" spans="5:5" x14ac:dyDescent="0.2">
      <c r="E289" s="22"/>
    </row>
    <row r="290" spans="5:5" x14ac:dyDescent="0.2">
      <c r="E290" s="22"/>
    </row>
    <row r="291" spans="5:5" x14ac:dyDescent="0.2">
      <c r="E291" s="22"/>
    </row>
    <row r="292" spans="5:5" x14ac:dyDescent="0.2">
      <c r="E292" s="22"/>
    </row>
    <row r="293" spans="5:5" x14ac:dyDescent="0.2">
      <c r="E293" s="22"/>
    </row>
    <row r="294" spans="5:5" x14ac:dyDescent="0.2">
      <c r="E294" s="22"/>
    </row>
    <row r="295" spans="5:5" x14ac:dyDescent="0.2">
      <c r="E295" s="22"/>
    </row>
    <row r="296" spans="5:5" x14ac:dyDescent="0.2">
      <c r="E296" s="22"/>
    </row>
    <row r="297" spans="5:5" x14ac:dyDescent="0.2">
      <c r="E297" s="22"/>
    </row>
    <row r="298" spans="5:5" x14ac:dyDescent="0.2">
      <c r="E298" s="22"/>
    </row>
    <row r="299" spans="5:5" x14ac:dyDescent="0.2">
      <c r="E299" s="22"/>
    </row>
    <row r="300" spans="5:5" x14ac:dyDescent="0.2">
      <c r="E300" s="22"/>
    </row>
    <row r="301" spans="5:5" x14ac:dyDescent="0.2">
      <c r="E301" s="22"/>
    </row>
    <row r="302" spans="5:5" x14ac:dyDescent="0.2">
      <c r="E302" s="22"/>
    </row>
    <row r="303" spans="5:5" x14ac:dyDescent="0.2">
      <c r="E303" s="22"/>
    </row>
    <row r="304" spans="5:5" x14ac:dyDescent="0.2">
      <c r="E304" s="22"/>
    </row>
    <row r="305" spans="5:5" x14ac:dyDescent="0.2">
      <c r="E305" s="22"/>
    </row>
    <row r="306" spans="5:5" x14ac:dyDescent="0.2">
      <c r="E306" s="22"/>
    </row>
    <row r="307" spans="5:5" x14ac:dyDescent="0.2">
      <c r="E307" s="22"/>
    </row>
    <row r="308" spans="5:5" x14ac:dyDescent="0.2">
      <c r="E308" s="22"/>
    </row>
    <row r="309" spans="5:5" x14ac:dyDescent="0.2">
      <c r="E309" s="22"/>
    </row>
    <row r="310" spans="5:5" x14ac:dyDescent="0.2">
      <c r="E310" s="22"/>
    </row>
    <row r="311" spans="5:5" x14ac:dyDescent="0.2">
      <c r="E311" s="22"/>
    </row>
    <row r="312" spans="5:5" x14ac:dyDescent="0.2">
      <c r="E312" s="22"/>
    </row>
    <row r="313" spans="5:5" x14ac:dyDescent="0.2">
      <c r="E313" s="22"/>
    </row>
    <row r="314" spans="5:5" x14ac:dyDescent="0.2">
      <c r="E314" s="22"/>
    </row>
    <row r="315" spans="5:5" x14ac:dyDescent="0.2">
      <c r="E315" s="22"/>
    </row>
    <row r="316" spans="5:5" x14ac:dyDescent="0.2">
      <c r="E316" s="22"/>
    </row>
    <row r="317" spans="5:5" x14ac:dyDescent="0.2">
      <c r="E317" s="22"/>
    </row>
    <row r="318" spans="5:5" x14ac:dyDescent="0.2">
      <c r="E318" s="22"/>
    </row>
    <row r="319" spans="5:5" x14ac:dyDescent="0.2">
      <c r="E319" s="22"/>
    </row>
    <row r="320" spans="5:5" x14ac:dyDescent="0.2">
      <c r="E320" s="22"/>
    </row>
    <row r="321" spans="5:5" x14ac:dyDescent="0.2">
      <c r="E321" s="22"/>
    </row>
    <row r="322" spans="5:5" x14ac:dyDescent="0.2">
      <c r="E322" s="22"/>
    </row>
    <row r="323" spans="5:5" x14ac:dyDescent="0.2">
      <c r="E323" s="22"/>
    </row>
    <row r="324" spans="5:5" x14ac:dyDescent="0.2">
      <c r="E324" s="22"/>
    </row>
    <row r="325" spans="5:5" x14ac:dyDescent="0.2">
      <c r="E325" s="22"/>
    </row>
    <row r="326" spans="5:5" x14ac:dyDescent="0.2">
      <c r="E326" s="22"/>
    </row>
    <row r="327" spans="5:5" x14ac:dyDescent="0.2">
      <c r="E327" s="22"/>
    </row>
    <row r="328" spans="5:5" x14ac:dyDescent="0.2">
      <c r="E328" s="22"/>
    </row>
    <row r="329" spans="5:5" x14ac:dyDescent="0.2">
      <c r="E329" s="22"/>
    </row>
    <row r="330" spans="5:5" x14ac:dyDescent="0.2">
      <c r="E330" s="22"/>
    </row>
    <row r="331" spans="5:5" x14ac:dyDescent="0.2">
      <c r="E331" s="22"/>
    </row>
    <row r="332" spans="5:5" x14ac:dyDescent="0.2">
      <c r="E332" s="22"/>
    </row>
    <row r="333" spans="5:5" x14ac:dyDescent="0.2">
      <c r="E333" s="22"/>
    </row>
    <row r="334" spans="5:5" x14ac:dyDescent="0.2">
      <c r="E334" s="22"/>
    </row>
    <row r="335" spans="5:5" x14ac:dyDescent="0.2">
      <c r="E335" s="22"/>
    </row>
    <row r="336" spans="5:5" x14ac:dyDescent="0.2">
      <c r="E336" s="22"/>
    </row>
    <row r="337" spans="5:5" x14ac:dyDescent="0.2">
      <c r="E337" s="22"/>
    </row>
    <row r="338" spans="5:5" x14ac:dyDescent="0.2">
      <c r="E338" s="22"/>
    </row>
    <row r="339" spans="5:5" x14ac:dyDescent="0.2">
      <c r="E339" s="22"/>
    </row>
    <row r="340" spans="5:5" x14ac:dyDescent="0.2">
      <c r="E340" s="22"/>
    </row>
    <row r="341" spans="5:5" x14ac:dyDescent="0.2">
      <c r="E341" s="22"/>
    </row>
    <row r="342" spans="5:5" x14ac:dyDescent="0.2">
      <c r="E342" s="22"/>
    </row>
    <row r="343" spans="5:5" x14ac:dyDescent="0.2">
      <c r="E343" s="22"/>
    </row>
    <row r="344" spans="5:5" x14ac:dyDescent="0.2">
      <c r="E344" s="22"/>
    </row>
    <row r="345" spans="5:5" x14ac:dyDescent="0.2">
      <c r="E345" s="22"/>
    </row>
    <row r="346" spans="5:5" x14ac:dyDescent="0.2">
      <c r="E346" s="22"/>
    </row>
    <row r="347" spans="5:5" x14ac:dyDescent="0.2">
      <c r="E347" s="22"/>
    </row>
    <row r="348" spans="5:5" x14ac:dyDescent="0.2">
      <c r="E348" s="22"/>
    </row>
    <row r="349" spans="5:5" x14ac:dyDescent="0.2">
      <c r="E349" s="22"/>
    </row>
    <row r="350" spans="5:5" x14ac:dyDescent="0.2">
      <c r="E350" s="22"/>
    </row>
    <row r="351" spans="5:5" x14ac:dyDescent="0.2">
      <c r="E351" s="22"/>
    </row>
    <row r="352" spans="5:5" x14ac:dyDescent="0.2">
      <c r="E352" s="22"/>
    </row>
    <row r="353" spans="5:5" x14ac:dyDescent="0.2">
      <c r="E353" s="22"/>
    </row>
    <row r="354" spans="5:5" x14ac:dyDescent="0.2">
      <c r="E354" s="22"/>
    </row>
    <row r="355" spans="5:5" x14ac:dyDescent="0.2">
      <c r="E355" s="22"/>
    </row>
    <row r="356" spans="5:5" x14ac:dyDescent="0.2">
      <c r="E356" s="22"/>
    </row>
    <row r="357" spans="5:5" x14ac:dyDescent="0.2">
      <c r="E357" s="22"/>
    </row>
    <row r="358" spans="5:5" x14ac:dyDescent="0.2">
      <c r="E358" s="22"/>
    </row>
    <row r="359" spans="5:5" x14ac:dyDescent="0.2">
      <c r="E359" s="22"/>
    </row>
    <row r="360" spans="5:5" x14ac:dyDescent="0.2">
      <c r="E360" s="22"/>
    </row>
    <row r="361" spans="5:5" x14ac:dyDescent="0.2">
      <c r="E361" s="22"/>
    </row>
    <row r="362" spans="5:5" x14ac:dyDescent="0.2">
      <c r="E362" s="22"/>
    </row>
    <row r="363" spans="5:5" x14ac:dyDescent="0.2">
      <c r="E363" s="22"/>
    </row>
    <row r="364" spans="5:5" x14ac:dyDescent="0.2">
      <c r="E364" s="22"/>
    </row>
    <row r="365" spans="5:5" x14ac:dyDescent="0.2">
      <c r="E365" s="22"/>
    </row>
    <row r="366" spans="5:5" x14ac:dyDescent="0.2">
      <c r="E366" s="22"/>
    </row>
    <row r="367" spans="5:5" x14ac:dyDescent="0.2">
      <c r="E367" s="22"/>
    </row>
    <row r="368" spans="5:5" x14ac:dyDescent="0.2">
      <c r="E368" s="22"/>
    </row>
    <row r="369" spans="5:5" x14ac:dyDescent="0.2">
      <c r="E369" s="22"/>
    </row>
    <row r="370" spans="5:5" x14ac:dyDescent="0.2">
      <c r="E370" s="22"/>
    </row>
    <row r="371" spans="5:5" x14ac:dyDescent="0.2">
      <c r="E371" s="22"/>
    </row>
    <row r="372" spans="5:5" x14ac:dyDescent="0.2">
      <c r="E372" s="22"/>
    </row>
    <row r="373" spans="5:5" x14ac:dyDescent="0.2">
      <c r="E373" s="22"/>
    </row>
    <row r="374" spans="5:5" x14ac:dyDescent="0.2">
      <c r="E374" s="22"/>
    </row>
    <row r="375" spans="5:5" x14ac:dyDescent="0.2">
      <c r="E375" s="22"/>
    </row>
    <row r="376" spans="5:5" x14ac:dyDescent="0.2">
      <c r="E376" s="22"/>
    </row>
    <row r="377" spans="5:5" x14ac:dyDescent="0.2">
      <c r="E377" s="22"/>
    </row>
    <row r="378" spans="5:5" x14ac:dyDescent="0.2">
      <c r="E378" s="22"/>
    </row>
    <row r="379" spans="5:5" x14ac:dyDescent="0.2">
      <c r="E379" s="22"/>
    </row>
    <row r="380" spans="5:5" x14ac:dyDescent="0.2">
      <c r="E380" s="22"/>
    </row>
    <row r="381" spans="5:5" x14ac:dyDescent="0.2">
      <c r="E381" s="22"/>
    </row>
    <row r="382" spans="5:5" x14ac:dyDescent="0.2">
      <c r="E382" s="22"/>
    </row>
    <row r="383" spans="5:5" x14ac:dyDescent="0.2">
      <c r="E383" s="22"/>
    </row>
    <row r="384" spans="5:5" x14ac:dyDescent="0.2">
      <c r="E384" s="22"/>
    </row>
    <row r="385" spans="5:5" x14ac:dyDescent="0.2">
      <c r="E385" s="22"/>
    </row>
    <row r="386" spans="5:5" x14ac:dyDescent="0.2">
      <c r="E386" s="22"/>
    </row>
    <row r="387" spans="5:5" x14ac:dyDescent="0.2">
      <c r="E387" s="22"/>
    </row>
    <row r="388" spans="5:5" x14ac:dyDescent="0.2">
      <c r="E388" s="22"/>
    </row>
    <row r="389" spans="5:5" x14ac:dyDescent="0.2">
      <c r="E389" s="22"/>
    </row>
    <row r="390" spans="5:5" x14ac:dyDescent="0.2">
      <c r="E390" s="22"/>
    </row>
    <row r="391" spans="5:5" x14ac:dyDescent="0.2">
      <c r="E391" s="22"/>
    </row>
    <row r="392" spans="5:5" x14ac:dyDescent="0.2">
      <c r="E392" s="22"/>
    </row>
    <row r="393" spans="5:5" x14ac:dyDescent="0.2">
      <c r="E393" s="22"/>
    </row>
    <row r="394" spans="5:5" x14ac:dyDescent="0.2">
      <c r="E394" s="22"/>
    </row>
    <row r="395" spans="5:5" x14ac:dyDescent="0.2">
      <c r="E395" s="22"/>
    </row>
    <row r="396" spans="5:5" x14ac:dyDescent="0.2">
      <c r="E396" s="22"/>
    </row>
    <row r="397" spans="5:5" x14ac:dyDescent="0.2">
      <c r="E397" s="22"/>
    </row>
    <row r="398" spans="5:5" x14ac:dyDescent="0.2">
      <c r="E398" s="22"/>
    </row>
    <row r="399" spans="5:5" x14ac:dyDescent="0.2">
      <c r="E399" s="22"/>
    </row>
    <row r="400" spans="5:5" x14ac:dyDescent="0.2">
      <c r="E400" s="22"/>
    </row>
    <row r="401" spans="5:5" x14ac:dyDescent="0.2">
      <c r="E401" s="22"/>
    </row>
    <row r="402" spans="5:5" x14ac:dyDescent="0.2">
      <c r="E402" s="22"/>
    </row>
    <row r="403" spans="5:5" x14ac:dyDescent="0.2">
      <c r="E403" s="22"/>
    </row>
    <row r="404" spans="5:5" x14ac:dyDescent="0.2">
      <c r="E404" s="22"/>
    </row>
    <row r="405" spans="5:5" x14ac:dyDescent="0.2">
      <c r="E405" s="22"/>
    </row>
    <row r="406" spans="5:5" x14ac:dyDescent="0.2">
      <c r="E406" s="22"/>
    </row>
    <row r="407" spans="5:5" x14ac:dyDescent="0.2">
      <c r="E407" s="22"/>
    </row>
    <row r="408" spans="5:5" x14ac:dyDescent="0.2">
      <c r="E408" s="22"/>
    </row>
    <row r="409" spans="5:5" x14ac:dyDescent="0.2">
      <c r="E409" s="22"/>
    </row>
    <row r="410" spans="5:5" x14ac:dyDescent="0.2">
      <c r="E410" s="22"/>
    </row>
    <row r="411" spans="5:5" x14ac:dyDescent="0.2">
      <c r="E411" s="22"/>
    </row>
    <row r="412" spans="5:5" x14ac:dyDescent="0.2">
      <c r="E412" s="22"/>
    </row>
    <row r="413" spans="5:5" x14ac:dyDescent="0.2">
      <c r="E413" s="22"/>
    </row>
    <row r="414" spans="5:5" x14ac:dyDescent="0.2">
      <c r="E414" s="22"/>
    </row>
    <row r="415" spans="5:5" x14ac:dyDescent="0.2">
      <c r="E415" s="22"/>
    </row>
    <row r="416" spans="5:5" x14ac:dyDescent="0.2">
      <c r="E416" s="22"/>
    </row>
    <row r="417" spans="5:5" x14ac:dyDescent="0.2">
      <c r="E417" s="22"/>
    </row>
    <row r="418" spans="5:5" x14ac:dyDescent="0.2">
      <c r="E418" s="22"/>
    </row>
    <row r="419" spans="5:5" x14ac:dyDescent="0.2">
      <c r="E419" s="22"/>
    </row>
    <row r="420" spans="5:5" x14ac:dyDescent="0.2">
      <c r="E420" s="22"/>
    </row>
    <row r="421" spans="5:5" x14ac:dyDescent="0.2">
      <c r="E421" s="22"/>
    </row>
    <row r="422" spans="5:5" x14ac:dyDescent="0.2">
      <c r="E422" s="22"/>
    </row>
    <row r="423" spans="5:5" x14ac:dyDescent="0.2">
      <c r="E423" s="22"/>
    </row>
    <row r="424" spans="5:5" x14ac:dyDescent="0.2">
      <c r="E424" s="22"/>
    </row>
    <row r="425" spans="5:5" x14ac:dyDescent="0.2">
      <c r="E425" s="22"/>
    </row>
    <row r="426" spans="5:5" x14ac:dyDescent="0.2">
      <c r="E426" s="22"/>
    </row>
    <row r="427" spans="5:5" x14ac:dyDescent="0.2">
      <c r="E427" s="22"/>
    </row>
    <row r="428" spans="5:5" x14ac:dyDescent="0.2">
      <c r="E428" s="22"/>
    </row>
    <row r="429" spans="5:5" x14ac:dyDescent="0.2">
      <c r="E429" s="22"/>
    </row>
    <row r="430" spans="5:5" x14ac:dyDescent="0.2">
      <c r="E430" s="22"/>
    </row>
    <row r="431" spans="5:5" x14ac:dyDescent="0.2">
      <c r="E431" s="22"/>
    </row>
    <row r="432" spans="5:5" x14ac:dyDescent="0.2">
      <c r="E432" s="22"/>
    </row>
    <row r="433" spans="5:5" x14ac:dyDescent="0.2">
      <c r="E433" s="22"/>
    </row>
    <row r="434" spans="5:5" x14ac:dyDescent="0.2">
      <c r="E434" s="22"/>
    </row>
    <row r="435" spans="5:5" x14ac:dyDescent="0.2">
      <c r="E435" s="22"/>
    </row>
    <row r="436" spans="5:5" x14ac:dyDescent="0.2">
      <c r="E436" s="22"/>
    </row>
    <row r="437" spans="5:5" x14ac:dyDescent="0.2">
      <c r="E437" s="22"/>
    </row>
    <row r="438" spans="5:5" x14ac:dyDescent="0.2">
      <c r="E438" s="22"/>
    </row>
    <row r="439" spans="5:5" x14ac:dyDescent="0.2">
      <c r="E439" s="22"/>
    </row>
    <row r="440" spans="5:5" x14ac:dyDescent="0.2">
      <c r="E440" s="22"/>
    </row>
    <row r="441" spans="5:5" x14ac:dyDescent="0.2">
      <c r="E441" s="22"/>
    </row>
    <row r="442" spans="5:5" x14ac:dyDescent="0.2">
      <c r="E442" s="22"/>
    </row>
    <row r="443" spans="5:5" x14ac:dyDescent="0.2">
      <c r="E443" s="22"/>
    </row>
    <row r="444" spans="5:5" x14ac:dyDescent="0.2">
      <c r="E444" s="22"/>
    </row>
    <row r="445" spans="5:5" x14ac:dyDescent="0.2">
      <c r="E445" s="22"/>
    </row>
    <row r="446" spans="5:5" x14ac:dyDescent="0.2">
      <c r="E446" s="22"/>
    </row>
    <row r="447" spans="5:5" x14ac:dyDescent="0.2">
      <c r="E447" s="22"/>
    </row>
    <row r="448" spans="5:5" x14ac:dyDescent="0.2">
      <c r="E448" s="22"/>
    </row>
    <row r="449" spans="5:5" x14ac:dyDescent="0.2">
      <c r="E449" s="22"/>
    </row>
    <row r="450" spans="5:5" x14ac:dyDescent="0.2">
      <c r="E450" s="22"/>
    </row>
    <row r="451" spans="5:5" x14ac:dyDescent="0.2">
      <c r="E451" s="22"/>
    </row>
    <row r="452" spans="5:5" x14ac:dyDescent="0.2">
      <c r="E452" s="22"/>
    </row>
    <row r="453" spans="5:5" x14ac:dyDescent="0.2">
      <c r="E453" s="22"/>
    </row>
    <row r="454" spans="5:5" x14ac:dyDescent="0.2">
      <c r="E454" s="22"/>
    </row>
    <row r="455" spans="5:5" x14ac:dyDescent="0.2">
      <c r="E455" s="22"/>
    </row>
    <row r="456" spans="5:5" x14ac:dyDescent="0.2">
      <c r="E456" s="22"/>
    </row>
    <row r="457" spans="5:5" x14ac:dyDescent="0.2">
      <c r="E457" s="22"/>
    </row>
    <row r="458" spans="5:5" x14ac:dyDescent="0.2">
      <c r="E458" s="22"/>
    </row>
    <row r="459" spans="5:5" x14ac:dyDescent="0.2">
      <c r="E459" s="22"/>
    </row>
    <row r="460" spans="5:5" x14ac:dyDescent="0.2">
      <c r="E460" s="22"/>
    </row>
    <row r="461" spans="5:5" x14ac:dyDescent="0.2">
      <c r="E461" s="22"/>
    </row>
    <row r="462" spans="5:5" x14ac:dyDescent="0.2">
      <c r="E462" s="22"/>
    </row>
    <row r="463" spans="5:5" x14ac:dyDescent="0.2">
      <c r="E463" s="22"/>
    </row>
    <row r="464" spans="5:5" x14ac:dyDescent="0.2">
      <c r="E464" s="22"/>
    </row>
    <row r="465" spans="5:5" x14ac:dyDescent="0.2">
      <c r="E465" s="22"/>
    </row>
    <row r="466" spans="5:5" x14ac:dyDescent="0.2">
      <c r="E466" s="22"/>
    </row>
    <row r="467" spans="5:5" x14ac:dyDescent="0.2">
      <c r="E467" s="22"/>
    </row>
    <row r="468" spans="5:5" x14ac:dyDescent="0.2">
      <c r="E468" s="22"/>
    </row>
    <row r="469" spans="5:5" x14ac:dyDescent="0.2">
      <c r="E469" s="22"/>
    </row>
    <row r="470" spans="5:5" x14ac:dyDescent="0.2">
      <c r="E470" s="22"/>
    </row>
    <row r="471" spans="5:5" x14ac:dyDescent="0.2">
      <c r="E471" s="22"/>
    </row>
    <row r="472" spans="5:5" x14ac:dyDescent="0.2">
      <c r="E472" s="22"/>
    </row>
    <row r="473" spans="5:5" x14ac:dyDescent="0.2">
      <c r="E473" s="22"/>
    </row>
    <row r="474" spans="5:5" x14ac:dyDescent="0.2">
      <c r="E474" s="22"/>
    </row>
    <row r="475" spans="5:5" x14ac:dyDescent="0.2">
      <c r="E475" s="22"/>
    </row>
    <row r="476" spans="5:5" x14ac:dyDescent="0.2">
      <c r="E476" s="22"/>
    </row>
    <row r="477" spans="5:5" x14ac:dyDescent="0.2">
      <c r="E477" s="22"/>
    </row>
    <row r="478" spans="5:5" x14ac:dyDescent="0.2">
      <c r="E478" s="22"/>
    </row>
    <row r="479" spans="5:5" x14ac:dyDescent="0.2">
      <c r="E479" s="22"/>
    </row>
    <row r="480" spans="5:5" x14ac:dyDescent="0.2">
      <c r="E480" s="22"/>
    </row>
    <row r="481" spans="5:5" x14ac:dyDescent="0.2">
      <c r="E481" s="22"/>
    </row>
    <row r="482" spans="5:5" x14ac:dyDescent="0.2">
      <c r="E482" s="22"/>
    </row>
    <row r="483" spans="5:5" x14ac:dyDescent="0.2">
      <c r="E483" s="22"/>
    </row>
    <row r="484" spans="5:5" x14ac:dyDescent="0.2">
      <c r="E484" s="22"/>
    </row>
    <row r="485" spans="5:5" x14ac:dyDescent="0.2">
      <c r="E485" s="22"/>
    </row>
    <row r="486" spans="5:5" x14ac:dyDescent="0.2">
      <c r="E486" s="22"/>
    </row>
    <row r="487" spans="5:5" x14ac:dyDescent="0.2">
      <c r="E487" s="22"/>
    </row>
    <row r="488" spans="5:5" x14ac:dyDescent="0.2">
      <c r="E488" s="22"/>
    </row>
    <row r="489" spans="5:5" x14ac:dyDescent="0.2">
      <c r="E489" s="22"/>
    </row>
    <row r="490" spans="5:5" x14ac:dyDescent="0.2">
      <c r="E490" s="22"/>
    </row>
    <row r="491" spans="5:5" x14ac:dyDescent="0.2">
      <c r="E491" s="22"/>
    </row>
    <row r="492" spans="5:5" x14ac:dyDescent="0.2">
      <c r="E492" s="22"/>
    </row>
    <row r="493" spans="5:5" x14ac:dyDescent="0.2">
      <c r="E493" s="22"/>
    </row>
    <row r="494" spans="5:5" x14ac:dyDescent="0.2">
      <c r="E494" s="22"/>
    </row>
    <row r="495" spans="5:5" x14ac:dyDescent="0.2">
      <c r="E495" s="22"/>
    </row>
    <row r="496" spans="5:5" x14ac:dyDescent="0.2">
      <c r="E496" s="22"/>
    </row>
    <row r="497" spans="5:5" x14ac:dyDescent="0.2">
      <c r="E497" s="22"/>
    </row>
    <row r="498" spans="5:5" x14ac:dyDescent="0.2">
      <c r="E498" s="22"/>
    </row>
    <row r="499" spans="5:5" x14ac:dyDescent="0.2">
      <c r="E499" s="22"/>
    </row>
    <row r="500" spans="5:5" x14ac:dyDescent="0.2">
      <c r="E500" s="22"/>
    </row>
    <row r="501" spans="5:5" x14ac:dyDescent="0.2">
      <c r="E501" s="22"/>
    </row>
    <row r="502" spans="5:5" x14ac:dyDescent="0.2">
      <c r="E502" s="22"/>
    </row>
    <row r="503" spans="5:5" x14ac:dyDescent="0.2">
      <c r="E503" s="22"/>
    </row>
    <row r="504" spans="5:5" x14ac:dyDescent="0.2">
      <c r="E504" s="22"/>
    </row>
    <row r="505" spans="5:5" x14ac:dyDescent="0.2">
      <c r="E505" s="22"/>
    </row>
    <row r="506" spans="5:5" x14ac:dyDescent="0.2">
      <c r="E506" s="22"/>
    </row>
    <row r="507" spans="5:5" x14ac:dyDescent="0.2">
      <c r="E507" s="22"/>
    </row>
    <row r="508" spans="5:5" x14ac:dyDescent="0.2">
      <c r="E508" s="22"/>
    </row>
    <row r="509" spans="5:5" x14ac:dyDescent="0.2">
      <c r="E509" s="22"/>
    </row>
    <row r="510" spans="5:5" x14ac:dyDescent="0.2">
      <c r="E510" s="22"/>
    </row>
    <row r="511" spans="5:5" x14ac:dyDescent="0.2">
      <c r="E511" s="22"/>
    </row>
    <row r="512" spans="5:5" x14ac:dyDescent="0.2">
      <c r="E512" s="22"/>
    </row>
    <row r="513" spans="5:5" x14ac:dyDescent="0.2">
      <c r="E513" s="22"/>
    </row>
    <row r="514" spans="5:5" x14ac:dyDescent="0.2">
      <c r="E514" s="22"/>
    </row>
    <row r="515" spans="5:5" x14ac:dyDescent="0.2">
      <c r="E515" s="22"/>
    </row>
    <row r="516" spans="5:5" x14ac:dyDescent="0.2">
      <c r="E516" s="22"/>
    </row>
    <row r="517" spans="5:5" x14ac:dyDescent="0.2">
      <c r="E517" s="22"/>
    </row>
    <row r="518" spans="5:5" x14ac:dyDescent="0.2">
      <c r="E518" s="22"/>
    </row>
    <row r="519" spans="5:5" x14ac:dyDescent="0.2">
      <c r="E519" s="22"/>
    </row>
    <row r="520" spans="5:5" x14ac:dyDescent="0.2">
      <c r="E520" s="22"/>
    </row>
    <row r="521" spans="5:5" x14ac:dyDescent="0.2">
      <c r="E521" s="22"/>
    </row>
    <row r="522" spans="5:5" x14ac:dyDescent="0.2">
      <c r="E522" s="22"/>
    </row>
    <row r="523" spans="5:5" x14ac:dyDescent="0.2">
      <c r="E523" s="22"/>
    </row>
    <row r="524" spans="5:5" x14ac:dyDescent="0.2">
      <c r="E524" s="22"/>
    </row>
    <row r="525" spans="5:5" x14ac:dyDescent="0.2">
      <c r="E525" s="22"/>
    </row>
    <row r="526" spans="5:5" x14ac:dyDescent="0.2">
      <c r="E526" s="22"/>
    </row>
    <row r="527" spans="5:5" x14ac:dyDescent="0.2">
      <c r="E527" s="22"/>
    </row>
    <row r="528" spans="5:5" x14ac:dyDescent="0.2">
      <c r="E528" s="22"/>
    </row>
    <row r="529" spans="5:5" x14ac:dyDescent="0.2">
      <c r="E529" s="22"/>
    </row>
    <row r="530" spans="5:5" x14ac:dyDescent="0.2">
      <c r="E530" s="22"/>
    </row>
    <row r="531" spans="5:5" x14ac:dyDescent="0.2">
      <c r="E531" s="22"/>
    </row>
    <row r="532" spans="5:5" x14ac:dyDescent="0.2">
      <c r="E532" s="22"/>
    </row>
    <row r="533" spans="5:5" x14ac:dyDescent="0.2">
      <c r="E533" s="22"/>
    </row>
    <row r="534" spans="5:5" x14ac:dyDescent="0.2">
      <c r="E534" s="22"/>
    </row>
    <row r="535" spans="5:5" x14ac:dyDescent="0.2">
      <c r="E535" s="22"/>
    </row>
    <row r="536" spans="5:5" x14ac:dyDescent="0.2">
      <c r="E536" s="22"/>
    </row>
    <row r="537" spans="5:5" x14ac:dyDescent="0.2">
      <c r="E537" s="22"/>
    </row>
    <row r="538" spans="5:5" x14ac:dyDescent="0.2">
      <c r="E538" s="22"/>
    </row>
    <row r="539" spans="5:5" x14ac:dyDescent="0.2">
      <c r="E539" s="22"/>
    </row>
    <row r="540" spans="5:5" x14ac:dyDescent="0.2">
      <c r="E540" s="22"/>
    </row>
    <row r="541" spans="5:5" x14ac:dyDescent="0.2">
      <c r="E541" s="22"/>
    </row>
    <row r="542" spans="5:5" x14ac:dyDescent="0.2">
      <c r="E542" s="22"/>
    </row>
    <row r="543" spans="5:5" x14ac:dyDescent="0.2">
      <c r="E543" s="22"/>
    </row>
    <row r="544" spans="5:5" x14ac:dyDescent="0.2">
      <c r="E544" s="22"/>
    </row>
    <row r="545" spans="5:5" x14ac:dyDescent="0.2">
      <c r="E545" s="22"/>
    </row>
    <row r="546" spans="5:5" x14ac:dyDescent="0.2">
      <c r="E546" s="22"/>
    </row>
    <row r="547" spans="5:5" x14ac:dyDescent="0.2">
      <c r="E547" s="22"/>
    </row>
    <row r="548" spans="5:5" x14ac:dyDescent="0.2">
      <c r="E548" s="22"/>
    </row>
    <row r="549" spans="5:5" x14ac:dyDescent="0.2">
      <c r="E549" s="22"/>
    </row>
    <row r="550" spans="5:5" x14ac:dyDescent="0.2">
      <c r="E550" s="22"/>
    </row>
    <row r="551" spans="5:5" x14ac:dyDescent="0.2">
      <c r="E551" s="22"/>
    </row>
    <row r="552" spans="5:5" x14ac:dyDescent="0.2">
      <c r="E552" s="22"/>
    </row>
    <row r="553" spans="5:5" x14ac:dyDescent="0.2">
      <c r="E553" s="22"/>
    </row>
    <row r="554" spans="5:5" x14ac:dyDescent="0.2">
      <c r="E554" s="22"/>
    </row>
    <row r="555" spans="5:5" x14ac:dyDescent="0.2">
      <c r="E555" s="22"/>
    </row>
    <row r="556" spans="5:5" x14ac:dyDescent="0.2">
      <c r="E556" s="22"/>
    </row>
    <row r="557" spans="5:5" x14ac:dyDescent="0.2">
      <c r="E557" s="22"/>
    </row>
    <row r="558" spans="5:5" x14ac:dyDescent="0.2">
      <c r="E558" s="22"/>
    </row>
    <row r="559" spans="5:5" x14ac:dyDescent="0.2">
      <c r="E559" s="22"/>
    </row>
    <row r="560" spans="5:5" x14ac:dyDescent="0.2">
      <c r="E560" s="22"/>
    </row>
    <row r="561" spans="5:5" x14ac:dyDescent="0.2">
      <c r="E561" s="22"/>
    </row>
    <row r="562" spans="5:5" x14ac:dyDescent="0.2">
      <c r="E562" s="22"/>
    </row>
    <row r="563" spans="5:5" x14ac:dyDescent="0.2">
      <c r="E563" s="22"/>
    </row>
    <row r="564" spans="5:5" x14ac:dyDescent="0.2">
      <c r="E564" s="22"/>
    </row>
    <row r="565" spans="5:5" x14ac:dyDescent="0.2">
      <c r="E565" s="22"/>
    </row>
    <row r="566" spans="5:5" x14ac:dyDescent="0.2">
      <c r="E566" s="22"/>
    </row>
    <row r="567" spans="5:5" x14ac:dyDescent="0.2">
      <c r="E567" s="22"/>
    </row>
    <row r="568" spans="5:5" x14ac:dyDescent="0.2">
      <c r="E568" s="22"/>
    </row>
    <row r="569" spans="5:5" x14ac:dyDescent="0.2">
      <c r="E569" s="22"/>
    </row>
    <row r="570" spans="5:5" x14ac:dyDescent="0.2">
      <c r="E570" s="22"/>
    </row>
    <row r="571" spans="5:5" x14ac:dyDescent="0.2">
      <c r="E571" s="22"/>
    </row>
    <row r="572" spans="5:5" x14ac:dyDescent="0.2">
      <c r="E572" s="22"/>
    </row>
    <row r="573" spans="5:5" x14ac:dyDescent="0.2">
      <c r="E573" s="22"/>
    </row>
    <row r="574" spans="5:5" x14ac:dyDescent="0.2">
      <c r="E574" s="22"/>
    </row>
    <row r="575" spans="5:5" x14ac:dyDescent="0.2">
      <c r="E575" s="22"/>
    </row>
    <row r="576" spans="5:5" x14ac:dyDescent="0.2">
      <c r="E576" s="22"/>
    </row>
    <row r="577" spans="5:5" x14ac:dyDescent="0.2">
      <c r="E577" s="22"/>
    </row>
    <row r="578" spans="5:5" x14ac:dyDescent="0.2">
      <c r="E578" s="22"/>
    </row>
    <row r="579" spans="5:5" x14ac:dyDescent="0.2">
      <c r="E579" s="22"/>
    </row>
    <row r="580" spans="5:5" x14ac:dyDescent="0.2">
      <c r="E580" s="22"/>
    </row>
    <row r="581" spans="5:5" x14ac:dyDescent="0.2">
      <c r="E581" s="22"/>
    </row>
    <row r="582" spans="5:5" x14ac:dyDescent="0.2">
      <c r="E582" s="22"/>
    </row>
    <row r="583" spans="5:5" x14ac:dyDescent="0.2">
      <c r="E583" s="22"/>
    </row>
    <row r="584" spans="5:5" x14ac:dyDescent="0.2">
      <c r="E584" s="22"/>
    </row>
    <row r="585" spans="5:5" x14ac:dyDescent="0.2">
      <c r="E585" s="22"/>
    </row>
    <row r="586" spans="5:5" x14ac:dyDescent="0.2">
      <c r="E586" s="22"/>
    </row>
    <row r="587" spans="5:5" x14ac:dyDescent="0.2">
      <c r="E587" s="22"/>
    </row>
    <row r="588" spans="5:5" x14ac:dyDescent="0.2">
      <c r="E588" s="22"/>
    </row>
    <row r="589" spans="5:5" x14ac:dyDescent="0.2">
      <c r="E589" s="22"/>
    </row>
    <row r="590" spans="5:5" x14ac:dyDescent="0.2">
      <c r="E590" s="22"/>
    </row>
    <row r="591" spans="5:5" x14ac:dyDescent="0.2">
      <c r="E591" s="22"/>
    </row>
    <row r="592" spans="5:5" x14ac:dyDescent="0.2">
      <c r="E592" s="22"/>
    </row>
    <row r="593" spans="5:5" x14ac:dyDescent="0.2">
      <c r="E593" s="22"/>
    </row>
    <row r="594" spans="5:5" x14ac:dyDescent="0.2">
      <c r="E594" s="22"/>
    </row>
    <row r="595" spans="5:5" x14ac:dyDescent="0.2">
      <c r="E595" s="22"/>
    </row>
    <row r="596" spans="5:5" x14ac:dyDescent="0.2">
      <c r="E596" s="22"/>
    </row>
    <row r="597" spans="5:5" x14ac:dyDescent="0.2">
      <c r="E597" s="22"/>
    </row>
    <row r="598" spans="5:5" x14ac:dyDescent="0.2">
      <c r="E598" s="22"/>
    </row>
    <row r="599" spans="5:5" x14ac:dyDescent="0.2">
      <c r="E599" s="22"/>
    </row>
    <row r="600" spans="5:5" x14ac:dyDescent="0.2">
      <c r="E600" s="22"/>
    </row>
    <row r="601" spans="5:5" x14ac:dyDescent="0.2">
      <c r="E601" s="22"/>
    </row>
    <row r="602" spans="5:5" x14ac:dyDescent="0.2">
      <c r="E602" s="22"/>
    </row>
    <row r="603" spans="5:5" x14ac:dyDescent="0.2">
      <c r="E603" s="22"/>
    </row>
    <row r="604" spans="5:5" x14ac:dyDescent="0.2">
      <c r="E604" s="22"/>
    </row>
    <row r="605" spans="5:5" x14ac:dyDescent="0.2">
      <c r="E605" s="22"/>
    </row>
    <row r="606" spans="5:5" x14ac:dyDescent="0.2">
      <c r="E606" s="22"/>
    </row>
    <row r="607" spans="5:5" x14ac:dyDescent="0.2">
      <c r="E607" s="22"/>
    </row>
    <row r="608" spans="5:5" x14ac:dyDescent="0.2">
      <c r="E608" s="22"/>
    </row>
    <row r="609" spans="5:5" x14ac:dyDescent="0.2">
      <c r="E609" s="22"/>
    </row>
    <row r="610" spans="5:5" x14ac:dyDescent="0.2">
      <c r="E610" s="22"/>
    </row>
    <row r="611" spans="5:5" x14ac:dyDescent="0.2">
      <c r="E611" s="22"/>
    </row>
    <row r="612" spans="5:5" x14ac:dyDescent="0.2">
      <c r="E612" s="22"/>
    </row>
    <row r="613" spans="5:5" x14ac:dyDescent="0.2">
      <c r="E613" s="22"/>
    </row>
    <row r="614" spans="5:5" x14ac:dyDescent="0.2">
      <c r="E614" s="22"/>
    </row>
    <row r="615" spans="5:5" x14ac:dyDescent="0.2">
      <c r="E615" s="22"/>
    </row>
    <row r="616" spans="5:5" x14ac:dyDescent="0.2">
      <c r="E616" s="22"/>
    </row>
    <row r="617" spans="5:5" x14ac:dyDescent="0.2">
      <c r="E617" s="22"/>
    </row>
    <row r="618" spans="5:5" x14ac:dyDescent="0.2">
      <c r="E618" s="22"/>
    </row>
    <row r="619" spans="5:5" x14ac:dyDescent="0.2">
      <c r="E619" s="22"/>
    </row>
    <row r="620" spans="5:5" x14ac:dyDescent="0.2">
      <c r="E620" s="22"/>
    </row>
    <row r="621" spans="5:5" x14ac:dyDescent="0.2">
      <c r="E621" s="22"/>
    </row>
    <row r="622" spans="5:5" x14ac:dyDescent="0.2">
      <c r="E622" s="22"/>
    </row>
    <row r="623" spans="5:5" x14ac:dyDescent="0.2">
      <c r="E623" s="22"/>
    </row>
    <row r="624" spans="5:5" x14ac:dyDescent="0.2">
      <c r="E624" s="22"/>
    </row>
    <row r="625" spans="5:5" x14ac:dyDescent="0.2">
      <c r="E625" s="22"/>
    </row>
    <row r="626" spans="5:5" x14ac:dyDescent="0.2">
      <c r="E626" s="22"/>
    </row>
    <row r="627" spans="5:5" x14ac:dyDescent="0.2">
      <c r="E627" s="22"/>
    </row>
    <row r="628" spans="5:5" x14ac:dyDescent="0.2">
      <c r="E628" s="22"/>
    </row>
    <row r="629" spans="5:5" x14ac:dyDescent="0.2">
      <c r="E629" s="22"/>
    </row>
    <row r="630" spans="5:5" x14ac:dyDescent="0.2">
      <c r="E630" s="22"/>
    </row>
    <row r="631" spans="5:5" x14ac:dyDescent="0.2">
      <c r="E631" s="22"/>
    </row>
    <row r="632" spans="5:5" x14ac:dyDescent="0.2">
      <c r="E632" s="22"/>
    </row>
    <row r="633" spans="5:5" x14ac:dyDescent="0.2">
      <c r="E633" s="22"/>
    </row>
    <row r="634" spans="5:5" x14ac:dyDescent="0.2">
      <c r="E634" s="22"/>
    </row>
    <row r="635" spans="5:5" x14ac:dyDescent="0.2">
      <c r="E635" s="22"/>
    </row>
    <row r="636" spans="5:5" x14ac:dyDescent="0.2">
      <c r="E636" s="22"/>
    </row>
    <row r="637" spans="5:5" x14ac:dyDescent="0.2">
      <c r="E637" s="22"/>
    </row>
    <row r="638" spans="5:5" x14ac:dyDescent="0.2">
      <c r="E638" s="22"/>
    </row>
    <row r="639" spans="5:5" x14ac:dyDescent="0.2">
      <c r="E639" s="22"/>
    </row>
    <row r="640" spans="5:5" x14ac:dyDescent="0.2">
      <c r="E640" s="22"/>
    </row>
    <row r="641" spans="5:5" x14ac:dyDescent="0.2">
      <c r="E641" s="22"/>
    </row>
    <row r="642" spans="5:5" x14ac:dyDescent="0.2">
      <c r="E642" s="22"/>
    </row>
    <row r="643" spans="5:5" x14ac:dyDescent="0.2">
      <c r="E643" s="22"/>
    </row>
    <row r="644" spans="5:5" x14ac:dyDescent="0.2">
      <c r="E644" s="22"/>
    </row>
    <row r="645" spans="5:5" x14ac:dyDescent="0.2">
      <c r="E645" s="22"/>
    </row>
    <row r="646" spans="5:5" x14ac:dyDescent="0.2">
      <c r="E646" s="22"/>
    </row>
    <row r="647" spans="5:5" x14ac:dyDescent="0.2">
      <c r="E647" s="22"/>
    </row>
    <row r="648" spans="5:5" x14ac:dyDescent="0.2">
      <c r="E648" s="22"/>
    </row>
    <row r="649" spans="5:5" x14ac:dyDescent="0.2">
      <c r="E649" s="22"/>
    </row>
    <row r="650" spans="5:5" x14ac:dyDescent="0.2">
      <c r="E650" s="22"/>
    </row>
    <row r="651" spans="5:5" x14ac:dyDescent="0.2">
      <c r="E651" s="22"/>
    </row>
    <row r="652" spans="5:5" x14ac:dyDescent="0.2">
      <c r="E652" s="22"/>
    </row>
    <row r="653" spans="5:5" x14ac:dyDescent="0.2">
      <c r="E653" s="22"/>
    </row>
    <row r="654" spans="5:5" x14ac:dyDescent="0.2">
      <c r="E654" s="22"/>
    </row>
    <row r="655" spans="5:5" x14ac:dyDescent="0.2">
      <c r="E655" s="22"/>
    </row>
    <row r="656" spans="5:5" x14ac:dyDescent="0.2">
      <c r="E656" s="22"/>
    </row>
    <row r="657" spans="5:5" x14ac:dyDescent="0.2">
      <c r="E657" s="22"/>
    </row>
    <row r="658" spans="5:5" x14ac:dyDescent="0.2">
      <c r="E658" s="22"/>
    </row>
    <row r="659" spans="5:5" x14ac:dyDescent="0.2">
      <c r="E659" s="22"/>
    </row>
    <row r="660" spans="5:5" x14ac:dyDescent="0.2">
      <c r="E660" s="22"/>
    </row>
    <row r="661" spans="5:5" x14ac:dyDescent="0.2">
      <c r="E661" s="22"/>
    </row>
    <row r="662" spans="5:5" x14ac:dyDescent="0.2">
      <c r="E662" s="22"/>
    </row>
    <row r="663" spans="5:5" x14ac:dyDescent="0.2">
      <c r="E663" s="22"/>
    </row>
    <row r="664" spans="5:5" x14ac:dyDescent="0.2">
      <c r="E664" s="22"/>
    </row>
    <row r="665" spans="5:5" x14ac:dyDescent="0.2">
      <c r="E665" s="22"/>
    </row>
    <row r="666" spans="5:5" x14ac:dyDescent="0.2">
      <c r="E666" s="22"/>
    </row>
    <row r="667" spans="5:5" x14ac:dyDescent="0.2">
      <c r="E667" s="22"/>
    </row>
    <row r="668" spans="5:5" x14ac:dyDescent="0.2">
      <c r="E668" s="22"/>
    </row>
    <row r="669" spans="5:5" x14ac:dyDescent="0.2">
      <c r="E669" s="22"/>
    </row>
    <row r="670" spans="5:5" x14ac:dyDescent="0.2">
      <c r="E670" s="22"/>
    </row>
    <row r="671" spans="5:5" x14ac:dyDescent="0.2">
      <c r="E671" s="22"/>
    </row>
    <row r="672" spans="5:5" x14ac:dyDescent="0.2">
      <c r="E672" s="22"/>
    </row>
    <row r="673" spans="5:5" x14ac:dyDescent="0.2">
      <c r="E673" s="22"/>
    </row>
    <row r="674" spans="5:5" x14ac:dyDescent="0.2">
      <c r="E674" s="22"/>
    </row>
    <row r="675" spans="5:5" x14ac:dyDescent="0.2">
      <c r="E675" s="22"/>
    </row>
    <row r="676" spans="5:5" x14ac:dyDescent="0.2">
      <c r="E676" s="22"/>
    </row>
    <row r="677" spans="5:5" x14ac:dyDescent="0.2">
      <c r="E677" s="22"/>
    </row>
    <row r="678" spans="5:5" x14ac:dyDescent="0.2">
      <c r="E678" s="22"/>
    </row>
    <row r="679" spans="5:5" x14ac:dyDescent="0.2">
      <c r="E679" s="22"/>
    </row>
    <row r="680" spans="5:5" x14ac:dyDescent="0.2">
      <c r="E680" s="22"/>
    </row>
    <row r="681" spans="5:5" x14ac:dyDescent="0.2">
      <c r="E681" s="22"/>
    </row>
    <row r="682" spans="5:5" x14ac:dyDescent="0.2">
      <c r="E682" s="22"/>
    </row>
    <row r="683" spans="5:5" x14ac:dyDescent="0.2">
      <c r="E683" s="22"/>
    </row>
    <row r="684" spans="5:5" x14ac:dyDescent="0.2">
      <c r="E684" s="22"/>
    </row>
    <row r="685" spans="5:5" x14ac:dyDescent="0.2">
      <c r="E685" s="22"/>
    </row>
    <row r="686" spans="5:5" x14ac:dyDescent="0.2">
      <c r="E686" s="22"/>
    </row>
    <row r="687" spans="5:5" x14ac:dyDescent="0.2">
      <c r="E687" s="22"/>
    </row>
    <row r="688" spans="5:5" x14ac:dyDescent="0.2">
      <c r="E688" s="22"/>
    </row>
    <row r="689" spans="5:5" x14ac:dyDescent="0.2">
      <c r="E689" s="22"/>
    </row>
    <row r="690" spans="5:5" x14ac:dyDescent="0.2">
      <c r="E690" s="22"/>
    </row>
    <row r="691" spans="5:5" x14ac:dyDescent="0.2">
      <c r="E691" s="22"/>
    </row>
    <row r="692" spans="5:5" x14ac:dyDescent="0.2">
      <c r="E692" s="22"/>
    </row>
    <row r="693" spans="5:5" x14ac:dyDescent="0.2">
      <c r="E693" s="22"/>
    </row>
    <row r="694" spans="5:5" x14ac:dyDescent="0.2">
      <c r="E694" s="22"/>
    </row>
    <row r="695" spans="5:5" x14ac:dyDescent="0.2">
      <c r="E695" s="22"/>
    </row>
    <row r="696" spans="5:5" x14ac:dyDescent="0.2">
      <c r="E696" s="22"/>
    </row>
    <row r="697" spans="5:5" x14ac:dyDescent="0.2">
      <c r="E697" s="22"/>
    </row>
    <row r="698" spans="5:5" x14ac:dyDescent="0.2">
      <c r="E698" s="22"/>
    </row>
    <row r="699" spans="5:5" x14ac:dyDescent="0.2">
      <c r="E699" s="22"/>
    </row>
    <row r="700" spans="5:5" x14ac:dyDescent="0.2">
      <c r="E700" s="22"/>
    </row>
    <row r="701" spans="5:5" x14ac:dyDescent="0.2">
      <c r="E701" s="22"/>
    </row>
    <row r="702" spans="5:5" x14ac:dyDescent="0.2">
      <c r="E702" s="22"/>
    </row>
    <row r="703" spans="5:5" x14ac:dyDescent="0.2">
      <c r="E703" s="22"/>
    </row>
    <row r="704" spans="5:5" x14ac:dyDescent="0.2">
      <c r="E704" s="22"/>
    </row>
    <row r="705" spans="5:5" x14ac:dyDescent="0.2">
      <c r="E705" s="22"/>
    </row>
    <row r="706" spans="5:5" x14ac:dyDescent="0.2">
      <c r="E706" s="22"/>
    </row>
    <row r="707" spans="5:5" x14ac:dyDescent="0.2">
      <c r="E707" s="22"/>
    </row>
    <row r="708" spans="5:5" x14ac:dyDescent="0.2">
      <c r="E708" s="22"/>
    </row>
    <row r="709" spans="5:5" x14ac:dyDescent="0.2">
      <c r="E709" s="22"/>
    </row>
    <row r="710" spans="5:5" x14ac:dyDescent="0.2">
      <c r="E710" s="22"/>
    </row>
    <row r="711" spans="5:5" x14ac:dyDescent="0.2">
      <c r="E711" s="22"/>
    </row>
    <row r="712" spans="5:5" x14ac:dyDescent="0.2">
      <c r="E712" s="22"/>
    </row>
    <row r="713" spans="5:5" x14ac:dyDescent="0.2">
      <c r="E713" s="22"/>
    </row>
    <row r="714" spans="5:5" x14ac:dyDescent="0.2">
      <c r="E714" s="22"/>
    </row>
    <row r="715" spans="5:5" x14ac:dyDescent="0.2">
      <c r="E715" s="22"/>
    </row>
    <row r="716" spans="5:5" x14ac:dyDescent="0.2">
      <c r="E716" s="22"/>
    </row>
    <row r="717" spans="5:5" x14ac:dyDescent="0.2">
      <c r="E717" s="22"/>
    </row>
    <row r="718" spans="5:5" x14ac:dyDescent="0.2">
      <c r="E718" s="22"/>
    </row>
    <row r="719" spans="5:5" x14ac:dyDescent="0.2">
      <c r="E719" s="22"/>
    </row>
    <row r="720" spans="5:5" x14ac:dyDescent="0.2">
      <c r="E720" s="22"/>
    </row>
    <row r="721" spans="5:5" x14ac:dyDescent="0.2">
      <c r="E721" s="22"/>
    </row>
    <row r="722" spans="5:5" x14ac:dyDescent="0.2">
      <c r="E722" s="22"/>
    </row>
    <row r="723" spans="5:5" x14ac:dyDescent="0.2">
      <c r="E723" s="22"/>
    </row>
    <row r="724" spans="5:5" x14ac:dyDescent="0.2">
      <c r="E724" s="22"/>
    </row>
    <row r="725" spans="5:5" x14ac:dyDescent="0.2">
      <c r="E725" s="22"/>
    </row>
    <row r="726" spans="5:5" x14ac:dyDescent="0.2">
      <c r="E726" s="22"/>
    </row>
    <row r="727" spans="5:5" x14ac:dyDescent="0.2">
      <c r="E727" s="22"/>
    </row>
    <row r="728" spans="5:5" x14ac:dyDescent="0.2">
      <c r="E728" s="22"/>
    </row>
    <row r="729" spans="5:5" x14ac:dyDescent="0.2">
      <c r="E729" s="22"/>
    </row>
    <row r="730" spans="5:5" x14ac:dyDescent="0.2">
      <c r="E730" s="22"/>
    </row>
    <row r="731" spans="5:5" x14ac:dyDescent="0.2">
      <c r="E731" s="22"/>
    </row>
    <row r="732" spans="5:5" x14ac:dyDescent="0.2">
      <c r="E732" s="22"/>
    </row>
    <row r="733" spans="5:5" x14ac:dyDescent="0.2">
      <c r="E733" s="22"/>
    </row>
    <row r="734" spans="5:5" x14ac:dyDescent="0.2">
      <c r="E734" s="22"/>
    </row>
    <row r="735" spans="5:5" x14ac:dyDescent="0.2">
      <c r="E735" s="22"/>
    </row>
    <row r="736" spans="5:5" x14ac:dyDescent="0.2">
      <c r="E736" s="22"/>
    </row>
    <row r="737" spans="5:5" x14ac:dyDescent="0.2">
      <c r="E737" s="22"/>
    </row>
    <row r="738" spans="5:5" x14ac:dyDescent="0.2">
      <c r="E738" s="22"/>
    </row>
    <row r="739" spans="5:5" x14ac:dyDescent="0.2">
      <c r="E739" s="22"/>
    </row>
    <row r="740" spans="5:5" x14ac:dyDescent="0.2">
      <c r="E740" s="22"/>
    </row>
    <row r="741" spans="5:5" x14ac:dyDescent="0.2">
      <c r="E741" s="22"/>
    </row>
    <row r="742" spans="5:5" x14ac:dyDescent="0.2">
      <c r="E742" s="22"/>
    </row>
    <row r="743" spans="5:5" x14ac:dyDescent="0.2">
      <c r="E743" s="22"/>
    </row>
    <row r="744" spans="5:5" x14ac:dyDescent="0.2">
      <c r="E744" s="22"/>
    </row>
    <row r="745" spans="5:5" x14ac:dyDescent="0.2">
      <c r="E745" s="22"/>
    </row>
    <row r="746" spans="5:5" x14ac:dyDescent="0.2">
      <c r="E746" s="22"/>
    </row>
    <row r="747" spans="5:5" x14ac:dyDescent="0.2">
      <c r="E747" s="22"/>
    </row>
    <row r="748" spans="5:5" x14ac:dyDescent="0.2">
      <c r="E748" s="22"/>
    </row>
    <row r="749" spans="5:5" x14ac:dyDescent="0.2">
      <c r="E749" s="22"/>
    </row>
    <row r="750" spans="5:5" x14ac:dyDescent="0.2">
      <c r="E750" s="22"/>
    </row>
    <row r="751" spans="5:5" x14ac:dyDescent="0.2">
      <c r="E751" s="22"/>
    </row>
    <row r="752" spans="5:5" x14ac:dyDescent="0.2">
      <c r="E752" s="22"/>
    </row>
    <row r="753" spans="5:5" x14ac:dyDescent="0.2">
      <c r="E753" s="22"/>
    </row>
    <row r="754" spans="5:5" x14ac:dyDescent="0.2">
      <c r="E754" s="22"/>
    </row>
    <row r="755" spans="5:5" x14ac:dyDescent="0.2">
      <c r="E755" s="22"/>
    </row>
    <row r="756" spans="5:5" x14ac:dyDescent="0.2">
      <c r="E756" s="22"/>
    </row>
    <row r="757" spans="5:5" x14ac:dyDescent="0.2">
      <c r="E757" s="22"/>
    </row>
    <row r="758" spans="5:5" x14ac:dyDescent="0.2">
      <c r="E758" s="22"/>
    </row>
    <row r="759" spans="5:5" x14ac:dyDescent="0.2">
      <c r="E759" s="22"/>
    </row>
    <row r="760" spans="5:5" x14ac:dyDescent="0.2">
      <c r="E760" s="22"/>
    </row>
    <row r="761" spans="5:5" x14ac:dyDescent="0.2">
      <c r="E761" s="22"/>
    </row>
    <row r="762" spans="5:5" x14ac:dyDescent="0.2">
      <c r="E762" s="22"/>
    </row>
    <row r="763" spans="5:5" x14ac:dyDescent="0.2">
      <c r="E763" s="22"/>
    </row>
    <row r="764" spans="5:5" x14ac:dyDescent="0.2">
      <c r="E764" s="22"/>
    </row>
    <row r="765" spans="5:5" x14ac:dyDescent="0.2">
      <c r="E765" s="22"/>
    </row>
    <row r="766" spans="5:5" x14ac:dyDescent="0.2">
      <c r="E766" s="22"/>
    </row>
    <row r="767" spans="5:5" x14ac:dyDescent="0.2">
      <c r="E767" s="22"/>
    </row>
    <row r="768" spans="5:5" x14ac:dyDescent="0.2">
      <c r="E768" s="22"/>
    </row>
    <row r="769" spans="5:5" x14ac:dyDescent="0.2">
      <c r="E769" s="22"/>
    </row>
    <row r="770" spans="5:5" x14ac:dyDescent="0.2">
      <c r="E770" s="22"/>
    </row>
    <row r="771" spans="5:5" x14ac:dyDescent="0.2">
      <c r="E771" s="22"/>
    </row>
    <row r="772" spans="5:5" x14ac:dyDescent="0.2">
      <c r="E772" s="22"/>
    </row>
    <row r="773" spans="5:5" x14ac:dyDescent="0.2">
      <c r="E773" s="22"/>
    </row>
    <row r="774" spans="5:5" x14ac:dyDescent="0.2">
      <c r="E774" s="22"/>
    </row>
    <row r="775" spans="5:5" x14ac:dyDescent="0.2">
      <c r="E775" s="22"/>
    </row>
    <row r="776" spans="5:5" x14ac:dyDescent="0.2">
      <c r="E776" s="22"/>
    </row>
    <row r="777" spans="5:5" x14ac:dyDescent="0.2">
      <c r="E777" s="22"/>
    </row>
    <row r="778" spans="5:5" x14ac:dyDescent="0.2">
      <c r="E778" s="22"/>
    </row>
    <row r="779" spans="5:5" x14ac:dyDescent="0.2">
      <c r="E779" s="22"/>
    </row>
    <row r="780" spans="5:5" x14ac:dyDescent="0.2">
      <c r="E780" s="22"/>
    </row>
    <row r="781" spans="5:5" x14ac:dyDescent="0.2">
      <c r="E781" s="22"/>
    </row>
    <row r="782" spans="5:5" x14ac:dyDescent="0.2">
      <c r="E782" s="22"/>
    </row>
    <row r="783" spans="5:5" x14ac:dyDescent="0.2">
      <c r="E783" s="22"/>
    </row>
    <row r="784" spans="5:5" x14ac:dyDescent="0.2">
      <c r="E784" s="22"/>
    </row>
    <row r="785" spans="5:5" x14ac:dyDescent="0.2">
      <c r="E785" s="22"/>
    </row>
    <row r="786" spans="5:5" x14ac:dyDescent="0.2">
      <c r="E786" s="22"/>
    </row>
    <row r="787" spans="5:5" x14ac:dyDescent="0.2">
      <c r="E787" s="22"/>
    </row>
    <row r="788" spans="5:5" x14ac:dyDescent="0.2">
      <c r="E788" s="22"/>
    </row>
    <row r="789" spans="5:5" x14ac:dyDescent="0.2">
      <c r="E789" s="22"/>
    </row>
    <row r="790" spans="5:5" x14ac:dyDescent="0.2">
      <c r="E790" s="22"/>
    </row>
    <row r="791" spans="5:5" x14ac:dyDescent="0.2">
      <c r="E791" s="22"/>
    </row>
    <row r="792" spans="5:5" x14ac:dyDescent="0.2">
      <c r="E792" s="22"/>
    </row>
    <row r="793" spans="5:5" x14ac:dyDescent="0.2">
      <c r="E793" s="22"/>
    </row>
    <row r="794" spans="5:5" x14ac:dyDescent="0.2">
      <c r="E794" s="22"/>
    </row>
    <row r="795" spans="5:5" x14ac:dyDescent="0.2">
      <c r="E795" s="22"/>
    </row>
    <row r="796" spans="5:5" x14ac:dyDescent="0.2">
      <c r="E796" s="22"/>
    </row>
    <row r="797" spans="5:5" x14ac:dyDescent="0.2">
      <c r="E797" s="22"/>
    </row>
    <row r="798" spans="5:5" x14ac:dyDescent="0.2">
      <c r="E798" s="22"/>
    </row>
    <row r="799" spans="5:5" x14ac:dyDescent="0.2">
      <c r="E799" s="22"/>
    </row>
    <row r="800" spans="5:5" x14ac:dyDescent="0.2">
      <c r="E800" s="22"/>
    </row>
    <row r="801" spans="5:5" x14ac:dyDescent="0.2">
      <c r="E801" s="22"/>
    </row>
    <row r="802" spans="5:5" x14ac:dyDescent="0.2">
      <c r="E802" s="22"/>
    </row>
    <row r="803" spans="5:5" x14ac:dyDescent="0.2">
      <c r="E803" s="22"/>
    </row>
    <row r="804" spans="5:5" x14ac:dyDescent="0.2">
      <c r="E804" s="22"/>
    </row>
    <row r="805" spans="5:5" x14ac:dyDescent="0.2">
      <c r="E805" s="22"/>
    </row>
    <row r="806" spans="5:5" x14ac:dyDescent="0.2">
      <c r="E806" s="22"/>
    </row>
    <row r="807" spans="5:5" x14ac:dyDescent="0.2">
      <c r="E807" s="22"/>
    </row>
    <row r="808" spans="5:5" x14ac:dyDescent="0.2">
      <c r="E808" s="22"/>
    </row>
    <row r="809" spans="5:5" x14ac:dyDescent="0.2">
      <c r="E809" s="22"/>
    </row>
    <row r="810" spans="5:5" x14ac:dyDescent="0.2">
      <c r="E810" s="22"/>
    </row>
    <row r="811" spans="5:5" x14ac:dyDescent="0.2">
      <c r="E811" s="22"/>
    </row>
    <row r="812" spans="5:5" x14ac:dyDescent="0.2">
      <c r="E812" s="22"/>
    </row>
    <row r="813" spans="5:5" x14ac:dyDescent="0.2">
      <c r="E813" s="22"/>
    </row>
    <row r="814" spans="5:5" x14ac:dyDescent="0.2">
      <c r="E814" s="22"/>
    </row>
    <row r="815" spans="5:5" x14ac:dyDescent="0.2">
      <c r="E815" s="22"/>
    </row>
    <row r="816" spans="5:5" x14ac:dyDescent="0.2">
      <c r="E816" s="22"/>
    </row>
    <row r="817" spans="5:5" x14ac:dyDescent="0.2">
      <c r="E817" s="22"/>
    </row>
    <row r="818" spans="5:5" x14ac:dyDescent="0.2">
      <c r="E818" s="22"/>
    </row>
    <row r="819" spans="5:5" x14ac:dyDescent="0.2">
      <c r="E819" s="22"/>
    </row>
    <row r="820" spans="5:5" x14ac:dyDescent="0.2">
      <c r="E820" s="22"/>
    </row>
    <row r="821" spans="5:5" x14ac:dyDescent="0.2">
      <c r="E821" s="22"/>
    </row>
    <row r="822" spans="5:5" x14ac:dyDescent="0.2">
      <c r="E822" s="22"/>
    </row>
    <row r="823" spans="5:5" x14ac:dyDescent="0.2">
      <c r="E823" s="22"/>
    </row>
    <row r="824" spans="5:5" x14ac:dyDescent="0.2">
      <c r="E824" s="22"/>
    </row>
    <row r="825" spans="5:5" x14ac:dyDescent="0.2">
      <c r="E825" s="22"/>
    </row>
    <row r="826" spans="5:5" x14ac:dyDescent="0.2">
      <c r="E826" s="22"/>
    </row>
    <row r="827" spans="5:5" x14ac:dyDescent="0.2">
      <c r="E827" s="22"/>
    </row>
    <row r="828" spans="5:5" x14ac:dyDescent="0.2">
      <c r="E828" s="22"/>
    </row>
    <row r="829" spans="5:5" x14ac:dyDescent="0.2">
      <c r="E829" s="22"/>
    </row>
    <row r="830" spans="5:5" x14ac:dyDescent="0.2">
      <c r="E830" s="22"/>
    </row>
    <row r="831" spans="5:5" x14ac:dyDescent="0.2">
      <c r="E831" s="22"/>
    </row>
    <row r="832" spans="5:5" x14ac:dyDescent="0.2">
      <c r="E832" s="22"/>
    </row>
    <row r="833" spans="5:5" x14ac:dyDescent="0.2">
      <c r="E833" s="22"/>
    </row>
    <row r="834" spans="5:5" x14ac:dyDescent="0.2">
      <c r="E834" s="22"/>
    </row>
    <row r="835" spans="5:5" x14ac:dyDescent="0.2">
      <c r="E835" s="22"/>
    </row>
    <row r="836" spans="5:5" x14ac:dyDescent="0.2">
      <c r="E836" s="22"/>
    </row>
    <row r="837" spans="5:5" x14ac:dyDescent="0.2">
      <c r="E837" s="22"/>
    </row>
    <row r="838" spans="5:5" x14ac:dyDescent="0.2">
      <c r="E838" s="22"/>
    </row>
    <row r="839" spans="5:5" x14ac:dyDescent="0.2">
      <c r="E839" s="22"/>
    </row>
    <row r="840" spans="5:5" x14ac:dyDescent="0.2">
      <c r="E840" s="22"/>
    </row>
    <row r="841" spans="5:5" x14ac:dyDescent="0.2">
      <c r="E841" s="22"/>
    </row>
    <row r="842" spans="5:5" x14ac:dyDescent="0.2">
      <c r="E842" s="22"/>
    </row>
    <row r="843" spans="5:5" x14ac:dyDescent="0.2">
      <c r="E843" s="22"/>
    </row>
    <row r="844" spans="5:5" x14ac:dyDescent="0.2">
      <c r="E844" s="22"/>
    </row>
    <row r="845" spans="5:5" x14ac:dyDescent="0.2">
      <c r="E845" s="22"/>
    </row>
    <row r="846" spans="5:5" x14ac:dyDescent="0.2">
      <c r="E846" s="22"/>
    </row>
    <row r="847" spans="5:5" x14ac:dyDescent="0.2">
      <c r="E847" s="22"/>
    </row>
    <row r="848" spans="5:5" x14ac:dyDescent="0.2">
      <c r="E848" s="22"/>
    </row>
    <row r="849" spans="5:5" x14ac:dyDescent="0.2">
      <c r="E849" s="22"/>
    </row>
    <row r="850" spans="5:5" x14ac:dyDescent="0.2">
      <c r="E850" s="22"/>
    </row>
    <row r="851" spans="5:5" x14ac:dyDescent="0.2">
      <c r="E851" s="22"/>
    </row>
    <row r="852" spans="5:5" x14ac:dyDescent="0.2">
      <c r="E852" s="22"/>
    </row>
    <row r="853" spans="5:5" x14ac:dyDescent="0.2">
      <c r="E853" s="22"/>
    </row>
    <row r="854" spans="5:5" x14ac:dyDescent="0.2">
      <c r="E854" s="22"/>
    </row>
    <row r="855" spans="5:5" x14ac:dyDescent="0.2">
      <c r="E855" s="22"/>
    </row>
    <row r="856" spans="5:5" x14ac:dyDescent="0.2">
      <c r="E856" s="22"/>
    </row>
    <row r="857" spans="5:5" x14ac:dyDescent="0.2">
      <c r="E857" s="22"/>
    </row>
    <row r="858" spans="5:5" x14ac:dyDescent="0.2">
      <c r="E858" s="22"/>
    </row>
    <row r="859" spans="5:5" x14ac:dyDescent="0.2">
      <c r="E859" s="22"/>
    </row>
    <row r="860" spans="5:5" x14ac:dyDescent="0.2">
      <c r="E860" s="22"/>
    </row>
    <row r="861" spans="5:5" x14ac:dyDescent="0.2">
      <c r="E861" s="22"/>
    </row>
    <row r="862" spans="5:5" x14ac:dyDescent="0.2">
      <c r="E862" s="22"/>
    </row>
    <row r="863" spans="5:5" x14ac:dyDescent="0.2">
      <c r="E863" s="22"/>
    </row>
    <row r="864" spans="5:5" x14ac:dyDescent="0.2">
      <c r="E864" s="22"/>
    </row>
    <row r="865" spans="5:5" x14ac:dyDescent="0.2">
      <c r="E865" s="22"/>
    </row>
    <row r="866" spans="5:5" x14ac:dyDescent="0.2">
      <c r="E866" s="22"/>
    </row>
    <row r="867" spans="5:5" x14ac:dyDescent="0.2">
      <c r="E867" s="22"/>
    </row>
    <row r="868" spans="5:5" x14ac:dyDescent="0.2">
      <c r="E868" s="22"/>
    </row>
    <row r="869" spans="5:5" x14ac:dyDescent="0.2">
      <c r="E869" s="22"/>
    </row>
    <row r="870" spans="5:5" x14ac:dyDescent="0.2">
      <c r="E870" s="22"/>
    </row>
    <row r="871" spans="5:5" x14ac:dyDescent="0.2">
      <c r="E871" s="22"/>
    </row>
    <row r="872" spans="5:5" x14ac:dyDescent="0.2">
      <c r="E872" s="22"/>
    </row>
    <row r="873" spans="5:5" x14ac:dyDescent="0.2">
      <c r="E873" s="22"/>
    </row>
    <row r="874" spans="5:5" x14ac:dyDescent="0.2">
      <c r="E874" s="22"/>
    </row>
    <row r="875" spans="5:5" x14ac:dyDescent="0.2">
      <c r="E875" s="22"/>
    </row>
    <row r="876" spans="5:5" x14ac:dyDescent="0.2">
      <c r="E876" s="22"/>
    </row>
    <row r="877" spans="5:5" x14ac:dyDescent="0.2">
      <c r="E877" s="22"/>
    </row>
    <row r="878" spans="5:5" x14ac:dyDescent="0.2">
      <c r="E878" s="22"/>
    </row>
    <row r="879" spans="5:5" x14ac:dyDescent="0.2">
      <c r="E879" s="22"/>
    </row>
    <row r="880" spans="5:5" x14ac:dyDescent="0.2">
      <c r="E880" s="22"/>
    </row>
    <row r="881" spans="5:5" x14ac:dyDescent="0.2">
      <c r="E881" s="22"/>
    </row>
    <row r="882" spans="5:5" x14ac:dyDescent="0.2">
      <c r="E882" s="22"/>
    </row>
    <row r="883" spans="5:5" x14ac:dyDescent="0.2">
      <c r="E883" s="22"/>
    </row>
    <row r="884" spans="5:5" x14ac:dyDescent="0.2">
      <c r="E884" s="22"/>
    </row>
    <row r="885" spans="5:5" x14ac:dyDescent="0.2">
      <c r="E885" s="22"/>
    </row>
    <row r="886" spans="5:5" x14ac:dyDescent="0.2">
      <c r="E886" s="22"/>
    </row>
    <row r="887" spans="5:5" x14ac:dyDescent="0.2">
      <c r="E887" s="22"/>
    </row>
    <row r="888" spans="5:5" x14ac:dyDescent="0.2">
      <c r="E888" s="22"/>
    </row>
    <row r="889" spans="5:5" x14ac:dyDescent="0.2">
      <c r="E889" s="22"/>
    </row>
    <row r="890" spans="5:5" x14ac:dyDescent="0.2">
      <c r="E890" s="22"/>
    </row>
    <row r="891" spans="5:5" x14ac:dyDescent="0.2">
      <c r="E891" s="22"/>
    </row>
    <row r="892" spans="5:5" x14ac:dyDescent="0.2">
      <c r="E892" s="22"/>
    </row>
    <row r="893" spans="5:5" x14ac:dyDescent="0.2">
      <c r="E893" s="22"/>
    </row>
    <row r="894" spans="5:5" x14ac:dyDescent="0.2">
      <c r="E894" s="22"/>
    </row>
    <row r="895" spans="5:5" x14ac:dyDescent="0.2">
      <c r="E895" s="22"/>
    </row>
    <row r="896" spans="5:5" x14ac:dyDescent="0.2">
      <c r="E896" s="22"/>
    </row>
    <row r="897" spans="5:5" x14ac:dyDescent="0.2">
      <c r="E897" s="2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8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4" width="11.140625" customWidth="1"/>
    <col min="5" max="5" width="29.85546875" customWidth="1"/>
  </cols>
  <sheetData>
    <row r="1" spans="1:5" x14ac:dyDescent="0.2">
      <c r="A1" s="1" t="s">
        <v>393</v>
      </c>
      <c r="B1" s="1" t="s">
        <v>2</v>
      </c>
      <c r="C1" s="1" t="s">
        <v>8</v>
      </c>
      <c r="D1" s="1" t="s">
        <v>400</v>
      </c>
      <c r="E1" s="2" t="s">
        <v>395</v>
      </c>
    </row>
    <row r="2" spans="1:5" x14ac:dyDescent="0.2">
      <c r="A2" s="5" t="s">
        <v>396</v>
      </c>
      <c r="B2" s="5"/>
      <c r="C2" s="5"/>
      <c r="D2" s="5"/>
      <c r="E2" s="7"/>
    </row>
    <row r="3" spans="1:5" x14ac:dyDescent="0.2">
      <c r="A3" s="5" t="s">
        <v>397</v>
      </c>
      <c r="B3" s="5" t="str">
        <f>masterlist!C2</f>
        <v>boy</v>
      </c>
      <c r="C3" s="5" t="str">
        <f>masterlist!I2</f>
        <v>мальчик</v>
      </c>
      <c r="D3" s="5" t="str">
        <f>masterlist!J2</f>
        <v>27.mp4</v>
      </c>
      <c r="E3" s="7" t="str">
        <f t="shared" ref="E3:E26" si="0">CONCATENATE(PROPER(B3)," 2",".jpg")</f>
        <v>Boy 2.jpg</v>
      </c>
    </row>
    <row r="4" spans="1:5" x14ac:dyDescent="0.2">
      <c r="A4" s="5" t="s">
        <v>397</v>
      </c>
      <c r="B4" s="5" t="str">
        <f>masterlist!C3</f>
        <v>children</v>
      </c>
      <c r="C4" s="5" t="str">
        <f>masterlist!I3</f>
        <v>дети</v>
      </c>
      <c r="D4" s="5" t="str">
        <f>masterlist!J3</f>
        <v>28.mp4</v>
      </c>
      <c r="E4" s="7" t="str">
        <f t="shared" si="0"/>
        <v>Children 2.jpg</v>
      </c>
    </row>
    <row r="5" spans="1:5" x14ac:dyDescent="0.2">
      <c r="A5" s="5" t="s">
        <v>397</v>
      </c>
      <c r="B5" s="5" t="str">
        <f>masterlist!C4</f>
        <v>eagle</v>
      </c>
      <c r="C5" s="5" t="str">
        <f>masterlist!I4</f>
        <v>орёл</v>
      </c>
      <c r="D5" s="5" t="str">
        <f>masterlist!J4</f>
        <v>31.mp4</v>
      </c>
      <c r="E5" s="7" t="str">
        <f t="shared" si="0"/>
        <v>Eagle 2.jpg</v>
      </c>
    </row>
    <row r="6" spans="1:5" x14ac:dyDescent="0.2">
      <c r="A6" s="5" t="s">
        <v>397</v>
      </c>
      <c r="B6" s="5" t="str">
        <f>masterlist!C5</f>
        <v>family</v>
      </c>
      <c r="C6" s="5" t="str">
        <f>masterlist!I5</f>
        <v>семья</v>
      </c>
      <c r="D6" s="5" t="str">
        <f>masterlist!J5</f>
        <v>32.mp4</v>
      </c>
      <c r="E6" s="7" t="str">
        <f t="shared" si="0"/>
        <v>Family 2.jpg</v>
      </c>
    </row>
    <row r="7" spans="1:5" x14ac:dyDescent="0.2">
      <c r="A7" s="5" t="s">
        <v>397</v>
      </c>
      <c r="B7" s="5" t="str">
        <f>masterlist!C6</f>
        <v>breathe</v>
      </c>
      <c r="C7" s="5" t="str">
        <f>masterlist!I6</f>
        <v>дышать</v>
      </c>
      <c r="D7" s="5" t="str">
        <f>masterlist!J6</f>
        <v>37.mp4</v>
      </c>
      <c r="E7" s="7" t="str">
        <f t="shared" si="0"/>
        <v>Breathe 2.jpg</v>
      </c>
    </row>
    <row r="8" spans="1:5" x14ac:dyDescent="0.2">
      <c r="A8" s="5" t="s">
        <v>397</v>
      </c>
      <c r="B8" s="5" t="str">
        <f>masterlist!C7</f>
        <v>cry</v>
      </c>
      <c r="C8" s="5" t="str">
        <f>masterlist!I7</f>
        <v>плакать</v>
      </c>
      <c r="D8" s="5" t="str">
        <f>masterlist!J7</f>
        <v>38.mp4</v>
      </c>
      <c r="E8" s="7" t="str">
        <f t="shared" si="0"/>
        <v>Cry 2.jpg</v>
      </c>
    </row>
    <row r="9" spans="1:5" x14ac:dyDescent="0.2">
      <c r="A9" s="5" t="s">
        <v>397</v>
      </c>
      <c r="B9" s="5" t="str">
        <f>masterlist!C8</f>
        <v>run</v>
      </c>
      <c r="C9" s="5" t="str">
        <f>masterlist!I8</f>
        <v>бежать</v>
      </c>
      <c r="D9" s="5" t="str">
        <f>masterlist!J8</f>
        <v>43.mp4</v>
      </c>
      <c r="E9" s="7" t="str">
        <f t="shared" si="0"/>
        <v>Run 2.jpg</v>
      </c>
    </row>
    <row r="10" spans="1:5" x14ac:dyDescent="0.2">
      <c r="A10" s="5" t="s">
        <v>397</v>
      </c>
      <c r="B10" s="5" t="str">
        <f>masterlist!C9</f>
        <v>sing</v>
      </c>
      <c r="C10" s="5" t="str">
        <f>masterlist!I9</f>
        <v>петь</v>
      </c>
      <c r="D10" s="5" t="str">
        <f>masterlist!J9</f>
        <v>44.mp4</v>
      </c>
      <c r="E10" s="7" t="str">
        <f t="shared" si="0"/>
        <v>Sing 2.jpg</v>
      </c>
    </row>
    <row r="11" spans="1:5" x14ac:dyDescent="0.2">
      <c r="A11" s="5" t="s">
        <v>397</v>
      </c>
      <c r="B11" s="5" t="str">
        <f>masterlist!C10</f>
        <v>think</v>
      </c>
      <c r="C11" s="5" t="str">
        <f>masterlist!I10</f>
        <v>думать</v>
      </c>
      <c r="D11" s="5" t="str">
        <f>masterlist!J10</f>
        <v>46.mp4</v>
      </c>
      <c r="E11" s="7" t="str">
        <f t="shared" si="0"/>
        <v>Think 2.jpg</v>
      </c>
    </row>
    <row r="12" spans="1:5" x14ac:dyDescent="0.2">
      <c r="A12" s="5" t="s">
        <v>397</v>
      </c>
      <c r="B12" s="5" t="str">
        <f>masterlist!C11</f>
        <v>paint</v>
      </c>
      <c r="C12" s="5" t="str">
        <f>masterlist!I11</f>
        <v>рисовать</v>
      </c>
      <c r="D12" s="5" t="str">
        <f>masterlist!J11</f>
        <v>42.mp4</v>
      </c>
      <c r="E12" s="7" t="str">
        <f t="shared" si="0"/>
        <v>Paint 2.jpg</v>
      </c>
    </row>
    <row r="13" spans="1:5" x14ac:dyDescent="0.2">
      <c r="A13" s="5" t="s">
        <v>397</v>
      </c>
      <c r="B13" s="5" t="str">
        <f>masterlist!C12</f>
        <v>watch</v>
      </c>
      <c r="C13" s="5" t="str">
        <f>masterlist!I12</f>
        <v>смотреть</v>
      </c>
      <c r="D13" s="5" t="str">
        <f>masterlist!J12</f>
        <v>47.mp4</v>
      </c>
      <c r="E13" s="7" t="str">
        <f t="shared" si="0"/>
        <v>Watch 2.jpg</v>
      </c>
    </row>
    <row r="14" spans="1:5" x14ac:dyDescent="0.2">
      <c r="A14" s="5" t="s">
        <v>397</v>
      </c>
      <c r="B14" s="5" t="str">
        <f>masterlist!C13</f>
        <v>write</v>
      </c>
      <c r="C14" s="5" t="str">
        <f>masterlist!I13</f>
        <v>писать</v>
      </c>
      <c r="D14" s="5" t="str">
        <f>masterlist!J13</f>
        <v>48.mp4</v>
      </c>
      <c r="E14" s="7" t="str">
        <f t="shared" si="0"/>
        <v>Write 2.jpg</v>
      </c>
    </row>
    <row r="15" spans="1:5" x14ac:dyDescent="0.2">
      <c r="A15" s="5" t="s">
        <v>397</v>
      </c>
      <c r="B15" s="5" t="str">
        <f>masterlist!C14</f>
        <v>beauty</v>
      </c>
      <c r="C15" s="5" t="str">
        <f>masterlist!I14</f>
        <v>красота</v>
      </c>
      <c r="D15" s="5" t="str">
        <f>masterlist!J14</f>
        <v>25.mp4</v>
      </c>
      <c r="E15" s="7" t="str">
        <f t="shared" si="0"/>
        <v>Beauty 2.jpg</v>
      </c>
    </row>
    <row r="16" spans="1:5" x14ac:dyDescent="0.2">
      <c r="A16" s="5" t="s">
        <v>397</v>
      </c>
      <c r="B16" s="5" t="str">
        <f>masterlist!C15</f>
        <v>change</v>
      </c>
      <c r="C16" s="5" t="str">
        <f>masterlist!I15</f>
        <v>изменение</v>
      </c>
      <c r="D16" s="5" t="str">
        <f>masterlist!J15</f>
        <v>34.mp4</v>
      </c>
      <c r="E16" s="7" t="str">
        <f t="shared" si="0"/>
        <v>Change 2.jpg</v>
      </c>
    </row>
    <row r="17" spans="1:5" x14ac:dyDescent="0.2">
      <c r="A17" s="5" t="s">
        <v>397</v>
      </c>
      <c r="B17" s="5" t="str">
        <f>masterlist!C16</f>
        <v>book</v>
      </c>
      <c r="C17" s="5" t="str">
        <f>masterlist!I16</f>
        <v>книга</v>
      </c>
      <c r="D17" s="5" t="str">
        <f>masterlist!J16</f>
        <v>26.mp4</v>
      </c>
      <c r="E17" s="7" t="str">
        <f t="shared" si="0"/>
        <v>Book 2.jpg</v>
      </c>
    </row>
    <row r="18" spans="1:5" x14ac:dyDescent="0.2">
      <c r="A18" s="5" t="s">
        <v>397</v>
      </c>
      <c r="B18" s="5" t="str">
        <f>masterlist!C17</f>
        <v>coffee</v>
      </c>
      <c r="C18" s="5" t="str">
        <f>masterlist!I17</f>
        <v>кофе</v>
      </c>
      <c r="D18" s="5" t="str">
        <f>masterlist!J17</f>
        <v>29.mp4</v>
      </c>
      <c r="E18" s="7" t="str">
        <f t="shared" si="0"/>
        <v>Coffee 2.jpg</v>
      </c>
    </row>
    <row r="19" spans="1:5" x14ac:dyDescent="0.2">
      <c r="A19" s="5" t="s">
        <v>397</v>
      </c>
      <c r="B19" s="5" t="str">
        <f>masterlist!C18</f>
        <v>cigar</v>
      </c>
      <c r="C19" s="5" t="str">
        <f>masterlist!I18</f>
        <v>чашка</v>
      </c>
      <c r="D19" s="5" t="str">
        <f>masterlist!J18</f>
        <v>30.mp4</v>
      </c>
      <c r="E19" s="7" t="str">
        <f t="shared" si="0"/>
        <v>Cigar 2.jpg</v>
      </c>
    </row>
    <row r="20" spans="1:5" x14ac:dyDescent="0.2">
      <c r="A20" s="5" t="s">
        <v>397</v>
      </c>
      <c r="B20" s="5" t="str">
        <f>masterlist!C19</f>
        <v>flower</v>
      </c>
      <c r="C20" s="5" t="str">
        <f>masterlist!I19</f>
        <v>цветок</v>
      </c>
      <c r="D20" s="5" t="str">
        <f>masterlist!J19</f>
        <v>33.mp4</v>
      </c>
      <c r="E20" s="7" t="str">
        <f t="shared" si="0"/>
        <v>Flower 2.jpg</v>
      </c>
    </row>
    <row r="21" spans="1:5" x14ac:dyDescent="0.2">
      <c r="A21" s="5" t="s">
        <v>397</v>
      </c>
      <c r="B21" s="5" t="str">
        <f>masterlist!C20</f>
        <v>metal</v>
      </c>
      <c r="C21" s="5" t="str">
        <f>masterlist!I20</f>
        <v>металл</v>
      </c>
      <c r="D21" s="5" t="str">
        <f>masterlist!J20</f>
        <v>35.mp4</v>
      </c>
      <c r="E21" s="7" t="str">
        <f t="shared" si="0"/>
        <v>Metal 2.jpg</v>
      </c>
    </row>
    <row r="22" spans="1:5" x14ac:dyDescent="0.2">
      <c r="A22" s="5" t="s">
        <v>397</v>
      </c>
      <c r="B22" s="5" t="str">
        <f>masterlist!C21</f>
        <v>telephone</v>
      </c>
      <c r="C22" s="5" t="str">
        <f>masterlist!I21</f>
        <v>телефон</v>
      </c>
      <c r="D22" s="5" t="str">
        <f>masterlist!J21</f>
        <v>36.mp4</v>
      </c>
      <c r="E22" s="7" t="str">
        <f t="shared" si="0"/>
        <v>Telephone 2.jpg</v>
      </c>
    </row>
    <row r="23" spans="1:5" x14ac:dyDescent="0.2">
      <c r="A23" s="5" t="s">
        <v>397</v>
      </c>
      <c r="B23" s="5" t="str">
        <f>masterlist!C22</f>
        <v>jump</v>
      </c>
      <c r="C23" s="5" t="str">
        <f>masterlist!I22</f>
        <v>прыгать</v>
      </c>
      <c r="D23" s="5" t="str">
        <f>masterlist!J22</f>
        <v>39.mp4</v>
      </c>
      <c r="E23" s="7" t="str">
        <f t="shared" si="0"/>
        <v>Jump 2.jpg</v>
      </c>
    </row>
    <row r="24" spans="1:5" x14ac:dyDescent="0.2">
      <c r="A24" s="5" t="s">
        <v>397</v>
      </c>
      <c r="B24" s="5" t="str">
        <f>masterlist!C23</f>
        <v>leave</v>
      </c>
      <c r="C24" s="5" t="str">
        <f>masterlist!I23</f>
        <v>уйти</v>
      </c>
      <c r="D24" s="5" t="str">
        <f>masterlist!J23</f>
        <v>40.mp4</v>
      </c>
      <c r="E24" s="7" t="str">
        <f t="shared" si="0"/>
        <v>Leave 2.jpg</v>
      </c>
    </row>
    <row r="25" spans="1:5" x14ac:dyDescent="0.2">
      <c r="A25" s="5" t="s">
        <v>397</v>
      </c>
      <c r="B25" s="5" t="str">
        <f>masterlist!C24</f>
        <v>lose</v>
      </c>
      <c r="C25" s="5" t="str">
        <f>masterlist!I24</f>
        <v>терять</v>
      </c>
      <c r="D25" s="5" t="str">
        <f>masterlist!J24</f>
        <v>41.mp4</v>
      </c>
      <c r="E25" s="7" t="str">
        <f t="shared" si="0"/>
        <v>Lose 2.jpg</v>
      </c>
    </row>
    <row r="26" spans="1:5" x14ac:dyDescent="0.2">
      <c r="A26" s="5" t="s">
        <v>397</v>
      </c>
      <c r="B26" s="5" t="str">
        <f>masterlist!C25</f>
        <v>take</v>
      </c>
      <c r="C26" s="5" t="str">
        <f>masterlist!I25</f>
        <v>взять</v>
      </c>
      <c r="D26" s="5" t="str">
        <f>masterlist!J25</f>
        <v>45.mp4</v>
      </c>
      <c r="E26" s="7" t="str">
        <f t="shared" si="0"/>
        <v>Take 2.jpg</v>
      </c>
    </row>
    <row r="27" spans="1:5" x14ac:dyDescent="0.2">
      <c r="A27" s="5" t="s">
        <v>397</v>
      </c>
      <c r="B27" s="5" t="str">
        <f>masterlist!C26</f>
        <v>frog</v>
      </c>
      <c r="C27" s="5" t="str">
        <f>masterlist!I26</f>
        <v>лягушка</v>
      </c>
      <c r="D27" s="5" t="str">
        <f>masterlist!J26</f>
        <v>6.mp4</v>
      </c>
      <c r="E27" s="7" t="str">
        <f t="shared" ref="E27:E50" si="1">CONCATENATE(PROPER(B27)," 1",".jpg")</f>
        <v>Frog 1.jpg</v>
      </c>
    </row>
    <row r="28" spans="1:5" x14ac:dyDescent="0.2">
      <c r="A28" s="5" t="s">
        <v>397</v>
      </c>
      <c r="B28" s="5" t="str">
        <f>masterlist!C27</f>
        <v>gorilla</v>
      </c>
      <c r="C28" s="5" t="str">
        <f>masterlist!I27</f>
        <v>горилла</v>
      </c>
      <c r="D28" s="5" t="str">
        <f>masterlist!J27</f>
        <v>7.mp4</v>
      </c>
      <c r="E28" s="7" t="str">
        <f t="shared" si="1"/>
        <v>Gorilla 1.jpg</v>
      </c>
    </row>
    <row r="29" spans="1:5" x14ac:dyDescent="0.2">
      <c r="A29" s="5" t="s">
        <v>397</v>
      </c>
      <c r="B29" s="5" t="str">
        <f>masterlist!C28</f>
        <v>come</v>
      </c>
      <c r="C29" s="5" t="str">
        <f>masterlist!I28</f>
        <v>прийти</v>
      </c>
      <c r="D29" s="5" t="str">
        <f>masterlist!J28</f>
        <v>14.mp4</v>
      </c>
      <c r="E29" s="7" t="str">
        <f t="shared" si="1"/>
        <v>Come 1.jpg</v>
      </c>
    </row>
    <row r="30" spans="1:5" x14ac:dyDescent="0.2">
      <c r="A30" s="5" t="s">
        <v>397</v>
      </c>
      <c r="B30" s="5" t="str">
        <f>masterlist!C29</f>
        <v>sail</v>
      </c>
      <c r="C30" s="5" t="str">
        <f>masterlist!I29</f>
        <v>плыть лодка</v>
      </c>
      <c r="D30" s="5" t="str">
        <f>masterlist!J29</f>
        <v>18.mp4</v>
      </c>
      <c r="E30" s="7" t="str">
        <f t="shared" si="1"/>
        <v>Sail 1.jpg</v>
      </c>
    </row>
    <row r="31" spans="1:5" x14ac:dyDescent="0.2">
      <c r="A31" s="5" t="s">
        <v>397</v>
      </c>
      <c r="B31" s="5" t="str">
        <f>masterlist!C30</f>
        <v>travel</v>
      </c>
      <c r="C31" s="5" t="str">
        <f>masterlist!I30</f>
        <v>путешествовать</v>
      </c>
      <c r="D31" s="5" t="str">
        <f>masterlist!J30</f>
        <v>21.mp4</v>
      </c>
      <c r="E31" s="7" t="str">
        <f t="shared" si="1"/>
        <v>Travel 1.jpg</v>
      </c>
    </row>
    <row r="32" spans="1:5" x14ac:dyDescent="0.2">
      <c r="A32" s="5" t="s">
        <v>397</v>
      </c>
      <c r="B32" s="5" t="str">
        <f>masterlist!C31</f>
        <v>doubt</v>
      </c>
      <c r="C32" s="5" t="str">
        <f>masterlist!I31</f>
        <v>сомневаться</v>
      </c>
      <c r="D32" s="5" t="str">
        <f>masterlist!J31</f>
        <v>15.mp4</v>
      </c>
      <c r="E32" s="7" t="str">
        <f t="shared" si="1"/>
        <v>Doubt 1.jpg</v>
      </c>
    </row>
    <row r="33" spans="1:5" x14ac:dyDescent="0.2">
      <c r="A33" s="5" t="s">
        <v>397</v>
      </c>
      <c r="B33" s="5" t="str">
        <f>masterlist!C32</f>
        <v>play</v>
      </c>
      <c r="C33" s="5" t="str">
        <f>masterlist!I32</f>
        <v>играть</v>
      </c>
      <c r="D33" s="5" t="str">
        <f>masterlist!J32</f>
        <v>16.mp4</v>
      </c>
      <c r="E33" s="7" t="str">
        <f t="shared" si="1"/>
        <v>Play 1.jpg</v>
      </c>
    </row>
    <row r="34" spans="1:5" x14ac:dyDescent="0.2">
      <c r="A34" s="5" t="s">
        <v>397</v>
      </c>
      <c r="B34" s="5" t="str">
        <f>masterlist!C33</f>
        <v>engagement</v>
      </c>
      <c r="C34" s="5" t="str">
        <f>masterlist!I33</f>
        <v>помолвка</v>
      </c>
      <c r="D34" s="5" t="str">
        <f>masterlist!J33</f>
        <v>2.mp4</v>
      </c>
      <c r="E34" s="7" t="str">
        <f t="shared" si="1"/>
        <v>Engagement 1.jpg</v>
      </c>
    </row>
    <row r="35" spans="1:5" x14ac:dyDescent="0.2">
      <c r="A35" s="5" t="s">
        <v>397</v>
      </c>
      <c r="B35" s="5" t="str">
        <f>masterlist!C34</f>
        <v>color</v>
      </c>
      <c r="C35" s="5" t="str">
        <f>masterlist!I34</f>
        <v>цвет</v>
      </c>
      <c r="D35" s="5" t="str">
        <f>masterlist!J34</f>
        <v>3.mp4</v>
      </c>
      <c r="E35" s="7" t="str">
        <f t="shared" si="1"/>
        <v>Color 1.jpg</v>
      </c>
    </row>
    <row r="36" spans="1:5" x14ac:dyDescent="0.2">
      <c r="A36" s="5" t="s">
        <v>397</v>
      </c>
      <c r="B36" s="5" t="str">
        <f>masterlist!C35</f>
        <v>east</v>
      </c>
      <c r="C36" s="5" t="str">
        <f>masterlist!I35</f>
        <v>восток</v>
      </c>
      <c r="D36" s="5" t="str">
        <f>masterlist!J35</f>
        <v>5.mp4</v>
      </c>
      <c r="E36" s="7" t="str">
        <f t="shared" si="1"/>
        <v>East 1.jpg</v>
      </c>
    </row>
    <row r="37" spans="1:5" x14ac:dyDescent="0.2">
      <c r="A37" s="5" t="s">
        <v>397</v>
      </c>
      <c r="B37" s="5" t="str">
        <f>masterlist!C36</f>
        <v>school</v>
      </c>
      <c r="C37" s="5" t="str">
        <f>masterlist!I36</f>
        <v>школа</v>
      </c>
      <c r="D37" s="5" t="str">
        <f>masterlist!J36</f>
        <v>11.mp4</v>
      </c>
      <c r="E37" s="7" t="str">
        <f t="shared" si="1"/>
        <v>School 1.jpg</v>
      </c>
    </row>
    <row r="38" spans="1:5" x14ac:dyDescent="0.2">
      <c r="A38" s="5" t="s">
        <v>397</v>
      </c>
      <c r="B38" s="5" t="str">
        <f>masterlist!C37</f>
        <v>pain</v>
      </c>
      <c r="C38" s="5" t="str">
        <f>masterlist!I37</f>
        <v>боль</v>
      </c>
      <c r="D38" s="5" t="str">
        <f>masterlist!J37</f>
        <v>12.mp4</v>
      </c>
      <c r="E38" s="7" t="str">
        <f t="shared" si="1"/>
        <v>Pain 1.jpg</v>
      </c>
    </row>
    <row r="39" spans="1:5" x14ac:dyDescent="0.2">
      <c r="A39" s="5" t="s">
        <v>397</v>
      </c>
      <c r="B39" s="5" t="str">
        <f>masterlist!C38</f>
        <v>cabbage</v>
      </c>
      <c r="C39" s="5" t="str">
        <f>masterlist!I38</f>
        <v>капуста</v>
      </c>
      <c r="D39" s="5" t="str">
        <f>masterlist!J38</f>
        <v>1.mp4</v>
      </c>
      <c r="E39" s="7" t="str">
        <f t="shared" si="1"/>
        <v>Cabbage 1.jpg</v>
      </c>
    </row>
    <row r="40" spans="1:5" x14ac:dyDescent="0.2">
      <c r="A40" s="5" t="s">
        <v>397</v>
      </c>
      <c r="B40" s="5" t="str">
        <f>masterlist!C39</f>
        <v>doll</v>
      </c>
      <c r="C40" s="5" t="str">
        <f>masterlist!I39</f>
        <v>кукла</v>
      </c>
      <c r="D40" s="5" t="str">
        <f>masterlist!J39</f>
        <v>4.mp4</v>
      </c>
      <c r="E40" s="7" t="str">
        <f t="shared" si="1"/>
        <v>Doll 1.jpg</v>
      </c>
    </row>
    <row r="41" spans="1:5" x14ac:dyDescent="0.2">
      <c r="A41" s="5" t="s">
        <v>397</v>
      </c>
      <c r="B41" s="5" t="str">
        <f>masterlist!C40</f>
        <v>magazine</v>
      </c>
      <c r="C41" s="5" t="str">
        <f>masterlist!I40</f>
        <v>журнал</v>
      </c>
      <c r="D41" s="5" t="str">
        <f>masterlist!J40</f>
        <v>8.mp4</v>
      </c>
      <c r="E41" s="7" t="str">
        <f t="shared" si="1"/>
        <v>Magazine 1.jpg</v>
      </c>
    </row>
    <row r="42" spans="1:5" x14ac:dyDescent="0.2">
      <c r="A42" s="5" t="s">
        <v>397</v>
      </c>
      <c r="B42" s="5" t="str">
        <f>masterlist!C41</f>
        <v>ring</v>
      </c>
      <c r="C42" s="5" t="str">
        <f>masterlist!I41</f>
        <v>круг</v>
      </c>
      <c r="D42" s="5" t="str">
        <f>masterlist!J41</f>
        <v>9.mp4</v>
      </c>
      <c r="E42" s="7" t="str">
        <f t="shared" si="1"/>
        <v>Ring 1.jpg</v>
      </c>
    </row>
    <row r="43" spans="1:5" x14ac:dyDescent="0.2">
      <c r="A43" s="5" t="s">
        <v>397</v>
      </c>
      <c r="B43" s="5" t="str">
        <f>masterlist!C42</f>
        <v>salt</v>
      </c>
      <c r="C43" s="5" t="str">
        <f>masterlist!I42</f>
        <v>соль</v>
      </c>
      <c r="D43" s="5" t="str">
        <f>masterlist!J42</f>
        <v>10.mp4</v>
      </c>
      <c r="E43" s="7" t="str">
        <f t="shared" si="1"/>
        <v>Salt 1.jpg</v>
      </c>
    </row>
    <row r="44" spans="1:5" x14ac:dyDescent="0.2">
      <c r="A44" s="5" t="s">
        <v>397</v>
      </c>
      <c r="B44" s="5" t="str">
        <f>masterlist!C43</f>
        <v>sneeze</v>
      </c>
      <c r="C44" s="5" t="str">
        <f>masterlist!I43</f>
        <v>чихать</v>
      </c>
      <c r="D44" s="5" t="str">
        <f>masterlist!J43</f>
        <v>20.mp4</v>
      </c>
      <c r="E44" s="7" t="str">
        <f t="shared" si="1"/>
        <v>Sneeze 1.jpg</v>
      </c>
    </row>
    <row r="45" spans="1:5" x14ac:dyDescent="0.2">
      <c r="A45" s="5" t="s">
        <v>397</v>
      </c>
      <c r="B45" s="5" t="str">
        <f>masterlist!C44</f>
        <v>try</v>
      </c>
      <c r="C45" s="5" t="str">
        <f>masterlist!I44</f>
        <v>пробовать</v>
      </c>
      <c r="D45" s="5" t="str">
        <f>masterlist!J44</f>
        <v>22.mp4</v>
      </c>
      <c r="E45" s="7" t="str">
        <f t="shared" si="1"/>
        <v>Try 1.jpg</v>
      </c>
    </row>
    <row r="46" spans="1:5" x14ac:dyDescent="0.2">
      <c r="A46" s="5" t="s">
        <v>397</v>
      </c>
      <c r="B46" s="5" t="str">
        <f>masterlist!C45</f>
        <v>wait</v>
      </c>
      <c r="C46" s="5" t="str">
        <f>masterlist!I45</f>
        <v>ждать</v>
      </c>
      <c r="D46" s="5" t="str">
        <f>masterlist!J45</f>
        <v>23.mp4</v>
      </c>
      <c r="E46" s="7" t="str">
        <f t="shared" si="1"/>
        <v>Wait 1.jpg</v>
      </c>
    </row>
    <row r="47" spans="1:5" x14ac:dyDescent="0.2">
      <c r="A47" s="5" t="s">
        <v>397</v>
      </c>
      <c r="B47" s="5" t="str">
        <f>masterlist!C46</f>
        <v>call</v>
      </c>
      <c r="C47" s="5" t="str">
        <f>masterlist!I46</f>
        <v>звать</v>
      </c>
      <c r="D47" s="5" t="str">
        <f>masterlist!J46</f>
        <v>13.mp4</v>
      </c>
      <c r="E47" s="7" t="str">
        <f t="shared" si="1"/>
        <v>Call 1.jpg</v>
      </c>
    </row>
    <row r="48" spans="1:5" x14ac:dyDescent="0.2">
      <c r="A48" s="5" t="s">
        <v>397</v>
      </c>
      <c r="B48" s="5" t="str">
        <f>masterlist!C47</f>
        <v>choose</v>
      </c>
      <c r="C48" s="5" t="str">
        <f>masterlist!I47</f>
        <v>выбирать</v>
      </c>
      <c r="D48" s="5" t="str">
        <f>masterlist!J47</f>
        <v>17.mp4</v>
      </c>
      <c r="E48" s="7" t="str">
        <f t="shared" si="1"/>
        <v>Choose 1.jpg</v>
      </c>
    </row>
    <row r="49" spans="1:5" x14ac:dyDescent="0.2">
      <c r="A49" s="5" t="s">
        <v>397</v>
      </c>
      <c r="B49" s="5" t="str">
        <f>masterlist!C48</f>
        <v>show</v>
      </c>
      <c r="C49" s="5" t="str">
        <f>masterlist!I48</f>
        <v>показать</v>
      </c>
      <c r="D49" s="5" t="str">
        <f>masterlist!J48</f>
        <v>19.mp4</v>
      </c>
      <c r="E49" s="7" t="str">
        <f t="shared" si="1"/>
        <v>Show 1.jpg</v>
      </c>
    </row>
    <row r="50" spans="1:5" x14ac:dyDescent="0.2">
      <c r="A50" s="5" t="s">
        <v>397</v>
      </c>
      <c r="B50" s="5" t="str">
        <f>masterlist!C49</f>
        <v>win</v>
      </c>
      <c r="C50" s="5" t="str">
        <f>masterlist!I49</f>
        <v>победить</v>
      </c>
      <c r="D50" s="5" t="str">
        <f>masterlist!J49</f>
        <v>24.mp4</v>
      </c>
      <c r="E50" s="7" t="str">
        <f t="shared" si="1"/>
        <v>Win 1.jpg</v>
      </c>
    </row>
    <row r="51" spans="1:5" x14ac:dyDescent="0.2">
      <c r="A51" s="5" t="s">
        <v>399</v>
      </c>
      <c r="B51" s="5"/>
      <c r="C51" s="5"/>
      <c r="D51" s="5"/>
      <c r="E51" s="7"/>
    </row>
    <row r="52" spans="1:5" x14ac:dyDescent="0.2">
      <c r="E52" s="22"/>
    </row>
    <row r="53" spans="1:5" x14ac:dyDescent="0.2">
      <c r="E53" s="22"/>
    </row>
    <row r="54" spans="1:5" x14ac:dyDescent="0.2">
      <c r="E54" s="7"/>
    </row>
    <row r="55" spans="1:5" x14ac:dyDescent="0.2">
      <c r="E55" s="7"/>
    </row>
    <row r="56" spans="1:5" x14ac:dyDescent="0.2">
      <c r="E56" s="22"/>
    </row>
    <row r="57" spans="1:5" x14ac:dyDescent="0.2">
      <c r="E57" s="22"/>
    </row>
    <row r="58" spans="1:5" x14ac:dyDescent="0.2">
      <c r="E58" s="22"/>
    </row>
    <row r="59" spans="1:5" x14ac:dyDescent="0.2">
      <c r="E59" s="22"/>
    </row>
    <row r="60" spans="1:5" x14ac:dyDescent="0.2">
      <c r="E60" s="22"/>
    </row>
    <row r="61" spans="1:5" x14ac:dyDescent="0.2">
      <c r="E61" s="22"/>
    </row>
    <row r="62" spans="1:5" x14ac:dyDescent="0.2">
      <c r="E62" s="22"/>
    </row>
    <row r="63" spans="1:5" x14ac:dyDescent="0.2">
      <c r="E63" s="22"/>
    </row>
    <row r="64" spans="1:5" x14ac:dyDescent="0.2">
      <c r="E64" s="22"/>
    </row>
    <row r="65" spans="5:5" x14ac:dyDescent="0.2">
      <c r="E65" s="22"/>
    </row>
    <row r="66" spans="5:5" x14ac:dyDescent="0.2">
      <c r="E66" s="22"/>
    </row>
    <row r="67" spans="5:5" x14ac:dyDescent="0.2">
      <c r="E67" s="22"/>
    </row>
    <row r="68" spans="5:5" x14ac:dyDescent="0.2">
      <c r="E68" s="22"/>
    </row>
    <row r="69" spans="5:5" x14ac:dyDescent="0.2">
      <c r="E69" s="22"/>
    </row>
    <row r="70" spans="5:5" x14ac:dyDescent="0.2">
      <c r="E70" s="22"/>
    </row>
    <row r="71" spans="5:5" x14ac:dyDescent="0.2">
      <c r="E71" s="22"/>
    </row>
    <row r="72" spans="5:5" x14ac:dyDescent="0.2">
      <c r="E72" s="22"/>
    </row>
    <row r="73" spans="5:5" x14ac:dyDescent="0.2">
      <c r="E73" s="22"/>
    </row>
    <row r="74" spans="5:5" x14ac:dyDescent="0.2">
      <c r="E74" s="22"/>
    </row>
    <row r="75" spans="5:5" x14ac:dyDescent="0.2">
      <c r="E75" s="22"/>
    </row>
    <row r="76" spans="5:5" x14ac:dyDescent="0.2">
      <c r="E76" s="22"/>
    </row>
    <row r="77" spans="5:5" x14ac:dyDescent="0.2">
      <c r="E77" s="22"/>
    </row>
    <row r="78" spans="5:5" x14ac:dyDescent="0.2">
      <c r="E78" s="22"/>
    </row>
    <row r="79" spans="5:5" x14ac:dyDescent="0.2">
      <c r="E79" s="22"/>
    </row>
    <row r="80" spans="5:5" x14ac:dyDescent="0.2">
      <c r="E80" s="22"/>
    </row>
    <row r="81" spans="5:5" x14ac:dyDescent="0.2">
      <c r="E81" s="22"/>
    </row>
    <row r="82" spans="5:5" x14ac:dyDescent="0.2">
      <c r="E82" s="22"/>
    </row>
    <row r="83" spans="5:5" x14ac:dyDescent="0.2">
      <c r="E83" s="22"/>
    </row>
    <row r="84" spans="5:5" x14ac:dyDescent="0.2">
      <c r="E84" s="22"/>
    </row>
    <row r="85" spans="5:5" x14ac:dyDescent="0.2">
      <c r="E85" s="22"/>
    </row>
    <row r="86" spans="5:5" x14ac:dyDescent="0.2">
      <c r="E86" s="22"/>
    </row>
    <row r="87" spans="5:5" x14ac:dyDescent="0.2">
      <c r="E87" s="22"/>
    </row>
    <row r="88" spans="5:5" x14ac:dyDescent="0.2">
      <c r="E88" s="22"/>
    </row>
    <row r="89" spans="5:5" x14ac:dyDescent="0.2">
      <c r="E89" s="22"/>
    </row>
    <row r="90" spans="5:5" x14ac:dyDescent="0.2">
      <c r="E90" s="22"/>
    </row>
    <row r="91" spans="5:5" x14ac:dyDescent="0.2">
      <c r="E91" s="22"/>
    </row>
    <row r="92" spans="5:5" x14ac:dyDescent="0.2">
      <c r="E92" s="22"/>
    </row>
    <row r="93" spans="5:5" x14ac:dyDescent="0.2">
      <c r="E93" s="22"/>
    </row>
    <row r="94" spans="5:5" x14ac:dyDescent="0.2">
      <c r="E94" s="22"/>
    </row>
    <row r="95" spans="5:5" x14ac:dyDescent="0.2">
      <c r="E95" s="22"/>
    </row>
    <row r="96" spans="5:5" x14ac:dyDescent="0.2">
      <c r="E96" s="22"/>
    </row>
    <row r="97" spans="5:5" x14ac:dyDescent="0.2">
      <c r="E97" s="22"/>
    </row>
    <row r="98" spans="5:5" x14ac:dyDescent="0.2">
      <c r="E98" s="22"/>
    </row>
    <row r="99" spans="5:5" x14ac:dyDescent="0.2">
      <c r="E99" s="22"/>
    </row>
    <row r="100" spans="5:5" x14ac:dyDescent="0.2">
      <c r="E100" s="22"/>
    </row>
    <row r="101" spans="5:5" x14ac:dyDescent="0.2">
      <c r="E101" s="22"/>
    </row>
    <row r="102" spans="5:5" x14ac:dyDescent="0.2">
      <c r="E102" s="22"/>
    </row>
    <row r="103" spans="5:5" x14ac:dyDescent="0.2">
      <c r="E103" s="22"/>
    </row>
    <row r="104" spans="5:5" x14ac:dyDescent="0.2">
      <c r="E104" s="22"/>
    </row>
    <row r="105" spans="5:5" x14ac:dyDescent="0.2">
      <c r="E105" s="22"/>
    </row>
    <row r="106" spans="5:5" x14ac:dyDescent="0.2">
      <c r="E106" s="22"/>
    </row>
    <row r="107" spans="5:5" x14ac:dyDescent="0.2">
      <c r="E107" s="22"/>
    </row>
    <row r="108" spans="5:5" x14ac:dyDescent="0.2">
      <c r="E108" s="22"/>
    </row>
    <row r="109" spans="5:5" x14ac:dyDescent="0.2">
      <c r="E109" s="22"/>
    </row>
    <row r="110" spans="5:5" x14ac:dyDescent="0.2">
      <c r="E110" s="22"/>
    </row>
    <row r="111" spans="5:5" x14ac:dyDescent="0.2">
      <c r="E111" s="22"/>
    </row>
    <row r="112" spans="5:5" x14ac:dyDescent="0.2">
      <c r="E112" s="22"/>
    </row>
    <row r="113" spans="5:5" x14ac:dyDescent="0.2">
      <c r="E113" s="22"/>
    </row>
    <row r="114" spans="5:5" x14ac:dyDescent="0.2">
      <c r="E114" s="22"/>
    </row>
    <row r="115" spans="5:5" x14ac:dyDescent="0.2">
      <c r="E115" s="22"/>
    </row>
    <row r="116" spans="5:5" x14ac:dyDescent="0.2">
      <c r="E116" s="22"/>
    </row>
    <row r="117" spans="5:5" x14ac:dyDescent="0.2">
      <c r="E117" s="22"/>
    </row>
    <row r="118" spans="5:5" x14ac:dyDescent="0.2">
      <c r="E118" s="22"/>
    </row>
    <row r="119" spans="5:5" x14ac:dyDescent="0.2">
      <c r="E119" s="22"/>
    </row>
    <row r="120" spans="5:5" x14ac:dyDescent="0.2">
      <c r="E120" s="22"/>
    </row>
    <row r="121" spans="5:5" x14ac:dyDescent="0.2">
      <c r="E121" s="22"/>
    </row>
    <row r="122" spans="5:5" x14ac:dyDescent="0.2">
      <c r="E122" s="22"/>
    </row>
    <row r="123" spans="5:5" x14ac:dyDescent="0.2">
      <c r="E123" s="22"/>
    </row>
    <row r="124" spans="5:5" x14ac:dyDescent="0.2">
      <c r="E124" s="22"/>
    </row>
    <row r="125" spans="5:5" x14ac:dyDescent="0.2">
      <c r="E125" s="22"/>
    </row>
    <row r="126" spans="5:5" x14ac:dyDescent="0.2">
      <c r="E126" s="22"/>
    </row>
    <row r="127" spans="5:5" x14ac:dyDescent="0.2">
      <c r="E127" s="22"/>
    </row>
    <row r="128" spans="5:5" x14ac:dyDescent="0.2">
      <c r="E128" s="22"/>
    </row>
    <row r="129" spans="5:5" x14ac:dyDescent="0.2">
      <c r="E129" s="22"/>
    </row>
    <row r="130" spans="5:5" x14ac:dyDescent="0.2">
      <c r="E130" s="22"/>
    </row>
    <row r="131" spans="5:5" x14ac:dyDescent="0.2">
      <c r="E131" s="22"/>
    </row>
    <row r="132" spans="5:5" x14ac:dyDescent="0.2">
      <c r="E132" s="22"/>
    </row>
    <row r="133" spans="5:5" x14ac:dyDescent="0.2">
      <c r="E133" s="22"/>
    </row>
    <row r="134" spans="5:5" x14ac:dyDescent="0.2">
      <c r="E134" s="22"/>
    </row>
    <row r="135" spans="5:5" x14ac:dyDescent="0.2">
      <c r="E135" s="22"/>
    </row>
    <row r="136" spans="5:5" x14ac:dyDescent="0.2">
      <c r="E136" s="22"/>
    </row>
    <row r="137" spans="5:5" x14ac:dyDescent="0.2">
      <c r="E137" s="22"/>
    </row>
    <row r="138" spans="5:5" x14ac:dyDescent="0.2">
      <c r="E138" s="22"/>
    </row>
    <row r="139" spans="5:5" x14ac:dyDescent="0.2">
      <c r="E139" s="22"/>
    </row>
    <row r="140" spans="5:5" x14ac:dyDescent="0.2">
      <c r="E140" s="22"/>
    </row>
    <row r="141" spans="5:5" x14ac:dyDescent="0.2">
      <c r="E141" s="22"/>
    </row>
    <row r="142" spans="5:5" x14ac:dyDescent="0.2">
      <c r="E142" s="22"/>
    </row>
    <row r="143" spans="5:5" x14ac:dyDescent="0.2">
      <c r="E143" s="22"/>
    </row>
    <row r="144" spans="5:5" x14ac:dyDescent="0.2">
      <c r="E144" s="22"/>
    </row>
    <row r="145" spans="5:5" x14ac:dyDescent="0.2">
      <c r="E145" s="22"/>
    </row>
    <row r="146" spans="5:5" x14ac:dyDescent="0.2">
      <c r="E146" s="22"/>
    </row>
    <row r="147" spans="5:5" x14ac:dyDescent="0.2">
      <c r="E147" s="22"/>
    </row>
    <row r="148" spans="5:5" x14ac:dyDescent="0.2">
      <c r="E148" s="22"/>
    </row>
    <row r="149" spans="5:5" x14ac:dyDescent="0.2">
      <c r="E149" s="22"/>
    </row>
    <row r="150" spans="5:5" x14ac:dyDescent="0.2">
      <c r="E150" s="22"/>
    </row>
    <row r="151" spans="5:5" x14ac:dyDescent="0.2">
      <c r="E151" s="22"/>
    </row>
    <row r="152" spans="5:5" x14ac:dyDescent="0.2">
      <c r="E152" s="22"/>
    </row>
    <row r="153" spans="5:5" x14ac:dyDescent="0.2">
      <c r="E153" s="22"/>
    </row>
    <row r="154" spans="5:5" x14ac:dyDescent="0.2">
      <c r="E154" s="22"/>
    </row>
    <row r="155" spans="5:5" x14ac:dyDescent="0.2">
      <c r="E155" s="22"/>
    </row>
    <row r="156" spans="5:5" x14ac:dyDescent="0.2">
      <c r="E156" s="22"/>
    </row>
    <row r="157" spans="5:5" x14ac:dyDescent="0.2">
      <c r="E157" s="22"/>
    </row>
    <row r="158" spans="5:5" x14ac:dyDescent="0.2">
      <c r="E158" s="22"/>
    </row>
    <row r="159" spans="5:5" x14ac:dyDescent="0.2">
      <c r="E159" s="22"/>
    </row>
    <row r="160" spans="5:5" x14ac:dyDescent="0.2">
      <c r="E160" s="22"/>
    </row>
    <row r="161" spans="5:5" x14ac:dyDescent="0.2">
      <c r="E161" s="22"/>
    </row>
    <row r="162" spans="5:5" x14ac:dyDescent="0.2">
      <c r="E162" s="22"/>
    </row>
    <row r="163" spans="5:5" x14ac:dyDescent="0.2">
      <c r="E163" s="22"/>
    </row>
    <row r="164" spans="5:5" x14ac:dyDescent="0.2">
      <c r="E164" s="22"/>
    </row>
    <row r="165" spans="5:5" x14ac:dyDescent="0.2">
      <c r="E165" s="22"/>
    </row>
    <row r="166" spans="5:5" x14ac:dyDescent="0.2">
      <c r="E166" s="22"/>
    </row>
    <row r="167" spans="5:5" x14ac:dyDescent="0.2">
      <c r="E167" s="22"/>
    </row>
    <row r="168" spans="5:5" x14ac:dyDescent="0.2">
      <c r="E168" s="22"/>
    </row>
    <row r="169" spans="5:5" x14ac:dyDescent="0.2">
      <c r="E169" s="22"/>
    </row>
    <row r="170" spans="5:5" x14ac:dyDescent="0.2">
      <c r="E170" s="22"/>
    </row>
    <row r="171" spans="5:5" x14ac:dyDescent="0.2">
      <c r="E171" s="22"/>
    </row>
    <row r="172" spans="5:5" x14ac:dyDescent="0.2">
      <c r="E172" s="22"/>
    </row>
    <row r="173" spans="5:5" x14ac:dyDescent="0.2">
      <c r="E173" s="22"/>
    </row>
    <row r="174" spans="5:5" x14ac:dyDescent="0.2">
      <c r="E174" s="22"/>
    </row>
    <row r="175" spans="5:5" x14ac:dyDescent="0.2">
      <c r="E175" s="22"/>
    </row>
    <row r="176" spans="5:5" x14ac:dyDescent="0.2">
      <c r="E176" s="22"/>
    </row>
    <row r="177" spans="5:5" x14ac:dyDescent="0.2">
      <c r="E177" s="22"/>
    </row>
    <row r="178" spans="5:5" x14ac:dyDescent="0.2">
      <c r="E178" s="22"/>
    </row>
    <row r="179" spans="5:5" x14ac:dyDescent="0.2">
      <c r="E179" s="22"/>
    </row>
    <row r="180" spans="5:5" x14ac:dyDescent="0.2">
      <c r="E180" s="22"/>
    </row>
    <row r="181" spans="5:5" x14ac:dyDescent="0.2">
      <c r="E181" s="22"/>
    </row>
    <row r="182" spans="5:5" x14ac:dyDescent="0.2">
      <c r="E182" s="22"/>
    </row>
    <row r="183" spans="5:5" x14ac:dyDescent="0.2">
      <c r="E183" s="22"/>
    </row>
    <row r="184" spans="5:5" x14ac:dyDescent="0.2">
      <c r="E184" s="22"/>
    </row>
    <row r="185" spans="5:5" x14ac:dyDescent="0.2">
      <c r="E185" s="22"/>
    </row>
    <row r="186" spans="5:5" x14ac:dyDescent="0.2">
      <c r="E186" s="22"/>
    </row>
    <row r="187" spans="5:5" x14ac:dyDescent="0.2">
      <c r="E187" s="22"/>
    </row>
    <row r="188" spans="5:5" x14ac:dyDescent="0.2">
      <c r="E188" s="22"/>
    </row>
    <row r="189" spans="5:5" x14ac:dyDescent="0.2">
      <c r="E189" s="22"/>
    </row>
    <row r="190" spans="5:5" x14ac:dyDescent="0.2">
      <c r="E190" s="22"/>
    </row>
    <row r="191" spans="5:5" x14ac:dyDescent="0.2">
      <c r="E191" s="22"/>
    </row>
    <row r="192" spans="5:5" x14ac:dyDescent="0.2">
      <c r="E192" s="22"/>
    </row>
    <row r="193" spans="5:5" x14ac:dyDescent="0.2">
      <c r="E193" s="22"/>
    </row>
    <row r="194" spans="5:5" x14ac:dyDescent="0.2">
      <c r="E194" s="22"/>
    </row>
    <row r="195" spans="5:5" x14ac:dyDescent="0.2">
      <c r="E195" s="22"/>
    </row>
    <row r="196" spans="5:5" x14ac:dyDescent="0.2">
      <c r="E196" s="22"/>
    </row>
    <row r="197" spans="5:5" x14ac:dyDescent="0.2">
      <c r="E197" s="22"/>
    </row>
    <row r="198" spans="5:5" x14ac:dyDescent="0.2">
      <c r="E198" s="22"/>
    </row>
    <row r="199" spans="5:5" x14ac:dyDescent="0.2">
      <c r="E199" s="22"/>
    </row>
    <row r="200" spans="5:5" x14ac:dyDescent="0.2">
      <c r="E200" s="22"/>
    </row>
    <row r="201" spans="5:5" x14ac:dyDescent="0.2">
      <c r="E201" s="22"/>
    </row>
    <row r="202" spans="5:5" x14ac:dyDescent="0.2">
      <c r="E202" s="22"/>
    </row>
    <row r="203" spans="5:5" x14ac:dyDescent="0.2">
      <c r="E203" s="22"/>
    </row>
    <row r="204" spans="5:5" x14ac:dyDescent="0.2">
      <c r="E204" s="22"/>
    </row>
    <row r="205" spans="5:5" x14ac:dyDescent="0.2">
      <c r="E205" s="22"/>
    </row>
    <row r="206" spans="5:5" x14ac:dyDescent="0.2">
      <c r="E206" s="22"/>
    </row>
    <row r="207" spans="5:5" x14ac:dyDescent="0.2">
      <c r="E207" s="22"/>
    </row>
    <row r="208" spans="5:5" x14ac:dyDescent="0.2">
      <c r="E208" s="22"/>
    </row>
    <row r="209" spans="5:5" x14ac:dyDescent="0.2">
      <c r="E209" s="22"/>
    </row>
    <row r="210" spans="5:5" x14ac:dyDescent="0.2">
      <c r="E210" s="22"/>
    </row>
    <row r="211" spans="5:5" x14ac:dyDescent="0.2">
      <c r="E211" s="22"/>
    </row>
    <row r="212" spans="5:5" x14ac:dyDescent="0.2">
      <c r="E212" s="22"/>
    </row>
    <row r="213" spans="5:5" x14ac:dyDescent="0.2">
      <c r="E213" s="22"/>
    </row>
    <row r="214" spans="5:5" x14ac:dyDescent="0.2">
      <c r="E214" s="22"/>
    </row>
    <row r="215" spans="5:5" x14ac:dyDescent="0.2">
      <c r="E215" s="22"/>
    </row>
    <row r="216" spans="5:5" x14ac:dyDescent="0.2">
      <c r="E216" s="22"/>
    </row>
    <row r="217" spans="5:5" x14ac:dyDescent="0.2">
      <c r="E217" s="22"/>
    </row>
    <row r="218" spans="5:5" x14ac:dyDescent="0.2">
      <c r="E218" s="22"/>
    </row>
    <row r="219" spans="5:5" x14ac:dyDescent="0.2">
      <c r="E219" s="22"/>
    </row>
    <row r="220" spans="5:5" x14ac:dyDescent="0.2">
      <c r="E220" s="22"/>
    </row>
    <row r="221" spans="5:5" x14ac:dyDescent="0.2">
      <c r="E221" s="22"/>
    </row>
    <row r="222" spans="5:5" x14ac:dyDescent="0.2">
      <c r="E222" s="22"/>
    </row>
    <row r="223" spans="5:5" x14ac:dyDescent="0.2">
      <c r="E223" s="22"/>
    </row>
    <row r="224" spans="5:5" x14ac:dyDescent="0.2">
      <c r="E224" s="22"/>
    </row>
    <row r="225" spans="5:5" x14ac:dyDescent="0.2">
      <c r="E225" s="22"/>
    </row>
    <row r="226" spans="5:5" x14ac:dyDescent="0.2">
      <c r="E226" s="22"/>
    </row>
    <row r="227" spans="5:5" x14ac:dyDescent="0.2">
      <c r="E227" s="22"/>
    </row>
    <row r="228" spans="5:5" x14ac:dyDescent="0.2">
      <c r="E228" s="22"/>
    </row>
    <row r="229" spans="5:5" x14ac:dyDescent="0.2">
      <c r="E229" s="22"/>
    </row>
    <row r="230" spans="5:5" x14ac:dyDescent="0.2">
      <c r="E230" s="22"/>
    </row>
    <row r="231" spans="5:5" x14ac:dyDescent="0.2">
      <c r="E231" s="22"/>
    </row>
    <row r="232" spans="5:5" x14ac:dyDescent="0.2">
      <c r="E232" s="22"/>
    </row>
    <row r="233" spans="5:5" x14ac:dyDescent="0.2">
      <c r="E233" s="22"/>
    </row>
    <row r="234" spans="5:5" x14ac:dyDescent="0.2">
      <c r="E234" s="22"/>
    </row>
    <row r="235" spans="5:5" x14ac:dyDescent="0.2">
      <c r="E235" s="22"/>
    </row>
    <row r="236" spans="5:5" x14ac:dyDescent="0.2">
      <c r="E236" s="22"/>
    </row>
    <row r="237" spans="5:5" x14ac:dyDescent="0.2">
      <c r="E237" s="22"/>
    </row>
    <row r="238" spans="5:5" x14ac:dyDescent="0.2">
      <c r="E238" s="22"/>
    </row>
    <row r="239" spans="5:5" x14ac:dyDescent="0.2">
      <c r="E239" s="22"/>
    </row>
    <row r="240" spans="5:5" x14ac:dyDescent="0.2">
      <c r="E240" s="22"/>
    </row>
    <row r="241" spans="5:5" x14ac:dyDescent="0.2">
      <c r="E241" s="22"/>
    </row>
    <row r="242" spans="5:5" x14ac:dyDescent="0.2">
      <c r="E242" s="22"/>
    </row>
    <row r="243" spans="5:5" x14ac:dyDescent="0.2">
      <c r="E243" s="22"/>
    </row>
    <row r="244" spans="5:5" x14ac:dyDescent="0.2">
      <c r="E244" s="22"/>
    </row>
    <row r="245" spans="5:5" x14ac:dyDescent="0.2">
      <c r="E245" s="22"/>
    </row>
    <row r="246" spans="5:5" x14ac:dyDescent="0.2">
      <c r="E246" s="22"/>
    </row>
    <row r="247" spans="5:5" x14ac:dyDescent="0.2">
      <c r="E247" s="22"/>
    </row>
    <row r="248" spans="5:5" x14ac:dyDescent="0.2">
      <c r="E248" s="22"/>
    </row>
    <row r="249" spans="5:5" x14ac:dyDescent="0.2">
      <c r="E249" s="22"/>
    </row>
    <row r="250" spans="5:5" x14ac:dyDescent="0.2">
      <c r="E250" s="22"/>
    </row>
    <row r="251" spans="5:5" x14ac:dyDescent="0.2">
      <c r="E251" s="22"/>
    </row>
    <row r="252" spans="5:5" x14ac:dyDescent="0.2">
      <c r="E252" s="22"/>
    </row>
    <row r="253" spans="5:5" x14ac:dyDescent="0.2">
      <c r="E253" s="22"/>
    </row>
    <row r="254" spans="5:5" x14ac:dyDescent="0.2">
      <c r="E254" s="22"/>
    </row>
    <row r="255" spans="5:5" x14ac:dyDescent="0.2">
      <c r="E255" s="22"/>
    </row>
    <row r="256" spans="5:5" x14ac:dyDescent="0.2">
      <c r="E256" s="22"/>
    </row>
    <row r="257" spans="5:5" x14ac:dyDescent="0.2">
      <c r="E257" s="22"/>
    </row>
    <row r="258" spans="5:5" x14ac:dyDescent="0.2">
      <c r="E258" s="22"/>
    </row>
    <row r="259" spans="5:5" x14ac:dyDescent="0.2">
      <c r="E259" s="22"/>
    </row>
    <row r="260" spans="5:5" x14ac:dyDescent="0.2">
      <c r="E260" s="22"/>
    </row>
    <row r="261" spans="5:5" x14ac:dyDescent="0.2">
      <c r="E261" s="22"/>
    </row>
    <row r="262" spans="5:5" x14ac:dyDescent="0.2">
      <c r="E262" s="22"/>
    </row>
    <row r="263" spans="5:5" x14ac:dyDescent="0.2">
      <c r="E263" s="22"/>
    </row>
    <row r="264" spans="5:5" x14ac:dyDescent="0.2">
      <c r="E264" s="22"/>
    </row>
    <row r="265" spans="5:5" x14ac:dyDescent="0.2">
      <c r="E265" s="22"/>
    </row>
    <row r="266" spans="5:5" x14ac:dyDescent="0.2">
      <c r="E266" s="22"/>
    </row>
    <row r="267" spans="5:5" x14ac:dyDescent="0.2">
      <c r="E267" s="22"/>
    </row>
    <row r="268" spans="5:5" x14ac:dyDescent="0.2">
      <c r="E268" s="22"/>
    </row>
    <row r="269" spans="5:5" x14ac:dyDescent="0.2">
      <c r="E269" s="22"/>
    </row>
    <row r="270" spans="5:5" x14ac:dyDescent="0.2">
      <c r="E270" s="22"/>
    </row>
    <row r="271" spans="5:5" x14ac:dyDescent="0.2">
      <c r="E271" s="22"/>
    </row>
    <row r="272" spans="5:5" x14ac:dyDescent="0.2">
      <c r="E272" s="22"/>
    </row>
    <row r="273" spans="5:5" x14ac:dyDescent="0.2">
      <c r="E273" s="22"/>
    </row>
    <row r="274" spans="5:5" x14ac:dyDescent="0.2">
      <c r="E274" s="22"/>
    </row>
    <row r="275" spans="5:5" x14ac:dyDescent="0.2">
      <c r="E275" s="22"/>
    </row>
    <row r="276" spans="5:5" x14ac:dyDescent="0.2">
      <c r="E276" s="22"/>
    </row>
    <row r="277" spans="5:5" x14ac:dyDescent="0.2">
      <c r="E277" s="22"/>
    </row>
    <row r="278" spans="5:5" x14ac:dyDescent="0.2">
      <c r="E278" s="22"/>
    </row>
    <row r="279" spans="5:5" x14ac:dyDescent="0.2">
      <c r="E279" s="22"/>
    </row>
    <row r="280" spans="5:5" x14ac:dyDescent="0.2">
      <c r="E280" s="22"/>
    </row>
    <row r="281" spans="5:5" x14ac:dyDescent="0.2">
      <c r="E281" s="22"/>
    </row>
    <row r="282" spans="5:5" x14ac:dyDescent="0.2">
      <c r="E282" s="22"/>
    </row>
    <row r="283" spans="5:5" x14ac:dyDescent="0.2">
      <c r="E283" s="22"/>
    </row>
    <row r="284" spans="5:5" x14ac:dyDescent="0.2">
      <c r="E284" s="22"/>
    </row>
    <row r="285" spans="5:5" x14ac:dyDescent="0.2">
      <c r="E285" s="22"/>
    </row>
    <row r="286" spans="5:5" x14ac:dyDescent="0.2">
      <c r="E286" s="22"/>
    </row>
    <row r="287" spans="5:5" x14ac:dyDescent="0.2">
      <c r="E287" s="22"/>
    </row>
    <row r="288" spans="5:5" x14ac:dyDescent="0.2">
      <c r="E288" s="22"/>
    </row>
    <row r="289" spans="5:5" x14ac:dyDescent="0.2">
      <c r="E289" s="22"/>
    </row>
    <row r="290" spans="5:5" x14ac:dyDescent="0.2">
      <c r="E290" s="22"/>
    </row>
    <row r="291" spans="5:5" x14ac:dyDescent="0.2">
      <c r="E291" s="22"/>
    </row>
    <row r="292" spans="5:5" x14ac:dyDescent="0.2">
      <c r="E292" s="22"/>
    </row>
    <row r="293" spans="5:5" x14ac:dyDescent="0.2">
      <c r="E293" s="22"/>
    </row>
    <row r="294" spans="5:5" x14ac:dyDescent="0.2">
      <c r="E294" s="22"/>
    </row>
    <row r="295" spans="5:5" x14ac:dyDescent="0.2">
      <c r="E295" s="22"/>
    </row>
    <row r="296" spans="5:5" x14ac:dyDescent="0.2">
      <c r="E296" s="22"/>
    </row>
    <row r="297" spans="5:5" x14ac:dyDescent="0.2">
      <c r="E297" s="22"/>
    </row>
    <row r="298" spans="5:5" x14ac:dyDescent="0.2">
      <c r="E298" s="22"/>
    </row>
    <row r="299" spans="5:5" x14ac:dyDescent="0.2">
      <c r="E299" s="22"/>
    </row>
    <row r="300" spans="5:5" x14ac:dyDescent="0.2">
      <c r="E300" s="22"/>
    </row>
    <row r="301" spans="5:5" x14ac:dyDescent="0.2">
      <c r="E301" s="22"/>
    </row>
    <row r="302" spans="5:5" x14ac:dyDescent="0.2">
      <c r="E302" s="22"/>
    </row>
    <row r="303" spans="5:5" x14ac:dyDescent="0.2">
      <c r="E303" s="22"/>
    </row>
    <row r="304" spans="5:5" x14ac:dyDescent="0.2">
      <c r="E304" s="22"/>
    </row>
    <row r="305" spans="5:5" x14ac:dyDescent="0.2">
      <c r="E305" s="22"/>
    </row>
    <row r="306" spans="5:5" x14ac:dyDescent="0.2">
      <c r="E306" s="22"/>
    </row>
    <row r="307" spans="5:5" x14ac:dyDescent="0.2">
      <c r="E307" s="22"/>
    </row>
    <row r="308" spans="5:5" x14ac:dyDescent="0.2">
      <c r="E308" s="22"/>
    </row>
    <row r="309" spans="5:5" x14ac:dyDescent="0.2">
      <c r="E309" s="22"/>
    </row>
    <row r="310" spans="5:5" x14ac:dyDescent="0.2">
      <c r="E310" s="22"/>
    </row>
    <row r="311" spans="5:5" x14ac:dyDescent="0.2">
      <c r="E311" s="22"/>
    </row>
    <row r="312" spans="5:5" x14ac:dyDescent="0.2">
      <c r="E312" s="22"/>
    </row>
    <row r="313" spans="5:5" x14ac:dyDescent="0.2">
      <c r="E313" s="22"/>
    </row>
    <row r="314" spans="5:5" x14ac:dyDescent="0.2">
      <c r="E314" s="22"/>
    </row>
    <row r="315" spans="5:5" x14ac:dyDescent="0.2">
      <c r="E315" s="22"/>
    </row>
    <row r="316" spans="5:5" x14ac:dyDescent="0.2">
      <c r="E316" s="22"/>
    </row>
    <row r="317" spans="5:5" x14ac:dyDescent="0.2">
      <c r="E317" s="22"/>
    </row>
    <row r="318" spans="5:5" x14ac:dyDescent="0.2">
      <c r="E318" s="22"/>
    </row>
    <row r="319" spans="5:5" x14ac:dyDescent="0.2">
      <c r="E319" s="22"/>
    </row>
    <row r="320" spans="5:5" x14ac:dyDescent="0.2">
      <c r="E320" s="22"/>
    </row>
    <row r="321" spans="5:5" x14ac:dyDescent="0.2">
      <c r="E321" s="22"/>
    </row>
    <row r="322" spans="5:5" x14ac:dyDescent="0.2">
      <c r="E322" s="22"/>
    </row>
    <row r="323" spans="5:5" x14ac:dyDescent="0.2">
      <c r="E323" s="22"/>
    </row>
    <row r="324" spans="5:5" x14ac:dyDescent="0.2">
      <c r="E324" s="22"/>
    </row>
    <row r="325" spans="5:5" x14ac:dyDescent="0.2">
      <c r="E325" s="22"/>
    </row>
    <row r="326" spans="5:5" x14ac:dyDescent="0.2">
      <c r="E326" s="22"/>
    </row>
    <row r="327" spans="5:5" x14ac:dyDescent="0.2">
      <c r="E327" s="22"/>
    </row>
    <row r="328" spans="5:5" x14ac:dyDescent="0.2">
      <c r="E328" s="22"/>
    </row>
    <row r="329" spans="5:5" x14ac:dyDescent="0.2">
      <c r="E329" s="22"/>
    </row>
    <row r="330" spans="5:5" x14ac:dyDescent="0.2">
      <c r="E330" s="22"/>
    </row>
    <row r="331" spans="5:5" x14ac:dyDescent="0.2">
      <c r="E331" s="22"/>
    </row>
    <row r="332" spans="5:5" x14ac:dyDescent="0.2">
      <c r="E332" s="22"/>
    </row>
    <row r="333" spans="5:5" x14ac:dyDescent="0.2">
      <c r="E333" s="22"/>
    </row>
    <row r="334" spans="5:5" x14ac:dyDescent="0.2">
      <c r="E334" s="22"/>
    </row>
    <row r="335" spans="5:5" x14ac:dyDescent="0.2">
      <c r="E335" s="22"/>
    </row>
    <row r="336" spans="5:5" x14ac:dyDescent="0.2">
      <c r="E336" s="22"/>
    </row>
    <row r="337" spans="5:5" x14ac:dyDescent="0.2">
      <c r="E337" s="22"/>
    </row>
    <row r="338" spans="5:5" x14ac:dyDescent="0.2">
      <c r="E338" s="22"/>
    </row>
    <row r="339" spans="5:5" x14ac:dyDescent="0.2">
      <c r="E339" s="22"/>
    </row>
    <row r="340" spans="5:5" x14ac:dyDescent="0.2">
      <c r="E340" s="22"/>
    </row>
    <row r="341" spans="5:5" x14ac:dyDescent="0.2">
      <c r="E341" s="22"/>
    </row>
    <row r="342" spans="5:5" x14ac:dyDescent="0.2">
      <c r="E342" s="22"/>
    </row>
    <row r="343" spans="5:5" x14ac:dyDescent="0.2">
      <c r="E343" s="22"/>
    </row>
    <row r="344" spans="5:5" x14ac:dyDescent="0.2">
      <c r="E344" s="22"/>
    </row>
    <row r="345" spans="5:5" x14ac:dyDescent="0.2">
      <c r="E345" s="22"/>
    </row>
    <row r="346" spans="5:5" x14ac:dyDescent="0.2">
      <c r="E346" s="22"/>
    </row>
    <row r="347" spans="5:5" x14ac:dyDescent="0.2">
      <c r="E347" s="22"/>
    </row>
    <row r="348" spans="5:5" x14ac:dyDescent="0.2">
      <c r="E348" s="22"/>
    </row>
    <row r="349" spans="5:5" x14ac:dyDescent="0.2">
      <c r="E349" s="22"/>
    </row>
    <row r="350" spans="5:5" x14ac:dyDescent="0.2">
      <c r="E350" s="22"/>
    </row>
    <row r="351" spans="5:5" x14ac:dyDescent="0.2">
      <c r="E351" s="22"/>
    </row>
    <row r="352" spans="5:5" x14ac:dyDescent="0.2">
      <c r="E352" s="22"/>
    </row>
    <row r="353" spans="5:5" x14ac:dyDescent="0.2">
      <c r="E353" s="22"/>
    </row>
    <row r="354" spans="5:5" x14ac:dyDescent="0.2">
      <c r="E354" s="22"/>
    </row>
    <row r="355" spans="5:5" x14ac:dyDescent="0.2">
      <c r="E355" s="22"/>
    </row>
    <row r="356" spans="5:5" x14ac:dyDescent="0.2">
      <c r="E356" s="22"/>
    </row>
    <row r="357" spans="5:5" x14ac:dyDescent="0.2">
      <c r="E357" s="22"/>
    </row>
    <row r="358" spans="5:5" x14ac:dyDescent="0.2">
      <c r="E358" s="22"/>
    </row>
    <row r="359" spans="5:5" x14ac:dyDescent="0.2">
      <c r="E359" s="22"/>
    </row>
    <row r="360" spans="5:5" x14ac:dyDescent="0.2">
      <c r="E360" s="22"/>
    </row>
    <row r="361" spans="5:5" x14ac:dyDescent="0.2">
      <c r="E361" s="22"/>
    </row>
    <row r="362" spans="5:5" x14ac:dyDescent="0.2">
      <c r="E362" s="22"/>
    </row>
    <row r="363" spans="5:5" x14ac:dyDescent="0.2">
      <c r="E363" s="22"/>
    </row>
    <row r="364" spans="5:5" x14ac:dyDescent="0.2">
      <c r="E364" s="22"/>
    </row>
    <row r="365" spans="5:5" x14ac:dyDescent="0.2">
      <c r="E365" s="22"/>
    </row>
    <row r="366" spans="5:5" x14ac:dyDescent="0.2">
      <c r="E366" s="22"/>
    </row>
    <row r="367" spans="5:5" x14ac:dyDescent="0.2">
      <c r="E367" s="22"/>
    </row>
    <row r="368" spans="5:5" x14ac:dyDescent="0.2">
      <c r="E368" s="22"/>
    </row>
    <row r="369" spans="5:5" x14ac:dyDescent="0.2">
      <c r="E369" s="22"/>
    </row>
    <row r="370" spans="5:5" x14ac:dyDescent="0.2">
      <c r="E370" s="22"/>
    </row>
    <row r="371" spans="5:5" x14ac:dyDescent="0.2">
      <c r="E371" s="22"/>
    </row>
    <row r="372" spans="5:5" x14ac:dyDescent="0.2">
      <c r="E372" s="22"/>
    </row>
    <row r="373" spans="5:5" x14ac:dyDescent="0.2">
      <c r="E373" s="22"/>
    </row>
    <row r="374" spans="5:5" x14ac:dyDescent="0.2">
      <c r="E374" s="22"/>
    </row>
    <row r="375" spans="5:5" x14ac:dyDescent="0.2">
      <c r="E375" s="22"/>
    </row>
    <row r="376" spans="5:5" x14ac:dyDescent="0.2">
      <c r="E376" s="22"/>
    </row>
    <row r="377" spans="5:5" x14ac:dyDescent="0.2">
      <c r="E377" s="22"/>
    </row>
    <row r="378" spans="5:5" x14ac:dyDescent="0.2">
      <c r="E378" s="22"/>
    </row>
    <row r="379" spans="5:5" x14ac:dyDescent="0.2">
      <c r="E379" s="22"/>
    </row>
    <row r="380" spans="5:5" x14ac:dyDescent="0.2">
      <c r="E380" s="22"/>
    </row>
    <row r="381" spans="5:5" x14ac:dyDescent="0.2">
      <c r="E381" s="22"/>
    </row>
    <row r="382" spans="5:5" x14ac:dyDescent="0.2">
      <c r="E382" s="22"/>
    </row>
    <row r="383" spans="5:5" x14ac:dyDescent="0.2">
      <c r="E383" s="22"/>
    </row>
    <row r="384" spans="5:5" x14ac:dyDescent="0.2">
      <c r="E384" s="22"/>
    </row>
    <row r="385" spans="5:5" x14ac:dyDescent="0.2">
      <c r="E385" s="22"/>
    </row>
    <row r="386" spans="5:5" x14ac:dyDescent="0.2">
      <c r="E386" s="22"/>
    </row>
    <row r="387" spans="5:5" x14ac:dyDescent="0.2">
      <c r="E387" s="22"/>
    </row>
    <row r="388" spans="5:5" x14ac:dyDescent="0.2">
      <c r="E388" s="22"/>
    </row>
    <row r="389" spans="5:5" x14ac:dyDescent="0.2">
      <c r="E389" s="22"/>
    </row>
    <row r="390" spans="5:5" x14ac:dyDescent="0.2">
      <c r="E390" s="22"/>
    </row>
    <row r="391" spans="5:5" x14ac:dyDescent="0.2">
      <c r="E391" s="22"/>
    </row>
    <row r="392" spans="5:5" x14ac:dyDescent="0.2">
      <c r="E392" s="22"/>
    </row>
    <row r="393" spans="5:5" x14ac:dyDescent="0.2">
      <c r="E393" s="22"/>
    </row>
    <row r="394" spans="5:5" x14ac:dyDescent="0.2">
      <c r="E394" s="22"/>
    </row>
    <row r="395" spans="5:5" x14ac:dyDescent="0.2">
      <c r="E395" s="22"/>
    </row>
    <row r="396" spans="5:5" x14ac:dyDescent="0.2">
      <c r="E396" s="22"/>
    </row>
    <row r="397" spans="5:5" x14ac:dyDescent="0.2">
      <c r="E397" s="22"/>
    </row>
    <row r="398" spans="5:5" x14ac:dyDescent="0.2">
      <c r="E398" s="22"/>
    </row>
    <row r="399" spans="5:5" x14ac:dyDescent="0.2">
      <c r="E399" s="22"/>
    </row>
    <row r="400" spans="5:5" x14ac:dyDescent="0.2">
      <c r="E400" s="22"/>
    </row>
    <row r="401" spans="5:5" x14ac:dyDescent="0.2">
      <c r="E401" s="22"/>
    </row>
    <row r="402" spans="5:5" x14ac:dyDescent="0.2">
      <c r="E402" s="22"/>
    </row>
    <row r="403" spans="5:5" x14ac:dyDescent="0.2">
      <c r="E403" s="22"/>
    </row>
    <row r="404" spans="5:5" x14ac:dyDescent="0.2">
      <c r="E404" s="22"/>
    </row>
    <row r="405" spans="5:5" x14ac:dyDescent="0.2">
      <c r="E405" s="22"/>
    </row>
    <row r="406" spans="5:5" x14ac:dyDescent="0.2">
      <c r="E406" s="22"/>
    </row>
    <row r="407" spans="5:5" x14ac:dyDescent="0.2">
      <c r="E407" s="22"/>
    </row>
    <row r="408" spans="5:5" x14ac:dyDescent="0.2">
      <c r="E408" s="22"/>
    </row>
    <row r="409" spans="5:5" x14ac:dyDescent="0.2">
      <c r="E409" s="22"/>
    </row>
    <row r="410" spans="5:5" x14ac:dyDescent="0.2">
      <c r="E410" s="22"/>
    </row>
    <row r="411" spans="5:5" x14ac:dyDescent="0.2">
      <c r="E411" s="22"/>
    </row>
    <row r="412" spans="5:5" x14ac:dyDescent="0.2">
      <c r="E412" s="22"/>
    </row>
    <row r="413" spans="5:5" x14ac:dyDescent="0.2">
      <c r="E413" s="22"/>
    </row>
    <row r="414" spans="5:5" x14ac:dyDescent="0.2">
      <c r="E414" s="22"/>
    </row>
    <row r="415" spans="5:5" x14ac:dyDescent="0.2">
      <c r="E415" s="22"/>
    </row>
    <row r="416" spans="5:5" x14ac:dyDescent="0.2">
      <c r="E416" s="22"/>
    </row>
    <row r="417" spans="5:5" x14ac:dyDescent="0.2">
      <c r="E417" s="22"/>
    </row>
    <row r="418" spans="5:5" x14ac:dyDescent="0.2">
      <c r="E418" s="22"/>
    </row>
    <row r="419" spans="5:5" x14ac:dyDescent="0.2">
      <c r="E419" s="22"/>
    </row>
    <row r="420" spans="5:5" x14ac:dyDescent="0.2">
      <c r="E420" s="22"/>
    </row>
    <row r="421" spans="5:5" x14ac:dyDescent="0.2">
      <c r="E421" s="22"/>
    </row>
    <row r="422" spans="5:5" x14ac:dyDescent="0.2">
      <c r="E422" s="22"/>
    </row>
    <row r="423" spans="5:5" x14ac:dyDescent="0.2">
      <c r="E423" s="22"/>
    </row>
    <row r="424" spans="5:5" x14ac:dyDescent="0.2">
      <c r="E424" s="22"/>
    </row>
    <row r="425" spans="5:5" x14ac:dyDescent="0.2">
      <c r="E425" s="22"/>
    </row>
    <row r="426" spans="5:5" x14ac:dyDescent="0.2">
      <c r="E426" s="22"/>
    </row>
    <row r="427" spans="5:5" x14ac:dyDescent="0.2">
      <c r="E427" s="22"/>
    </row>
    <row r="428" spans="5:5" x14ac:dyDescent="0.2">
      <c r="E428" s="22"/>
    </row>
    <row r="429" spans="5:5" x14ac:dyDescent="0.2">
      <c r="E429" s="22"/>
    </row>
    <row r="430" spans="5:5" x14ac:dyDescent="0.2">
      <c r="E430" s="22"/>
    </row>
    <row r="431" spans="5:5" x14ac:dyDescent="0.2">
      <c r="E431" s="22"/>
    </row>
    <row r="432" spans="5:5" x14ac:dyDescent="0.2">
      <c r="E432" s="22"/>
    </row>
    <row r="433" spans="5:5" x14ac:dyDescent="0.2">
      <c r="E433" s="22"/>
    </row>
    <row r="434" spans="5:5" x14ac:dyDescent="0.2">
      <c r="E434" s="22"/>
    </row>
    <row r="435" spans="5:5" x14ac:dyDescent="0.2">
      <c r="E435" s="22"/>
    </row>
    <row r="436" spans="5:5" x14ac:dyDescent="0.2">
      <c r="E436" s="22"/>
    </row>
    <row r="437" spans="5:5" x14ac:dyDescent="0.2">
      <c r="E437" s="22"/>
    </row>
    <row r="438" spans="5:5" x14ac:dyDescent="0.2">
      <c r="E438" s="22"/>
    </row>
    <row r="439" spans="5:5" x14ac:dyDescent="0.2">
      <c r="E439" s="22"/>
    </row>
    <row r="440" spans="5:5" x14ac:dyDescent="0.2">
      <c r="E440" s="22"/>
    </row>
    <row r="441" spans="5:5" x14ac:dyDescent="0.2">
      <c r="E441" s="22"/>
    </row>
    <row r="442" spans="5:5" x14ac:dyDescent="0.2">
      <c r="E442" s="22"/>
    </row>
    <row r="443" spans="5:5" x14ac:dyDescent="0.2">
      <c r="E443" s="22"/>
    </row>
    <row r="444" spans="5:5" x14ac:dyDescent="0.2">
      <c r="E444" s="22"/>
    </row>
    <row r="445" spans="5:5" x14ac:dyDescent="0.2">
      <c r="E445" s="22"/>
    </row>
    <row r="446" spans="5:5" x14ac:dyDescent="0.2">
      <c r="E446" s="22"/>
    </row>
    <row r="447" spans="5:5" x14ac:dyDescent="0.2">
      <c r="E447" s="22"/>
    </row>
    <row r="448" spans="5:5" x14ac:dyDescent="0.2">
      <c r="E448" s="22"/>
    </row>
    <row r="449" spans="5:5" x14ac:dyDescent="0.2">
      <c r="E449" s="22"/>
    </row>
    <row r="450" spans="5:5" x14ac:dyDescent="0.2">
      <c r="E450" s="22"/>
    </row>
    <row r="451" spans="5:5" x14ac:dyDescent="0.2">
      <c r="E451" s="22"/>
    </row>
    <row r="452" spans="5:5" x14ac:dyDescent="0.2">
      <c r="E452" s="22"/>
    </row>
    <row r="453" spans="5:5" x14ac:dyDescent="0.2">
      <c r="E453" s="22"/>
    </row>
    <row r="454" spans="5:5" x14ac:dyDescent="0.2">
      <c r="E454" s="22"/>
    </row>
    <row r="455" spans="5:5" x14ac:dyDescent="0.2">
      <c r="E455" s="22"/>
    </row>
    <row r="456" spans="5:5" x14ac:dyDescent="0.2">
      <c r="E456" s="22"/>
    </row>
    <row r="457" spans="5:5" x14ac:dyDescent="0.2">
      <c r="E457" s="22"/>
    </row>
    <row r="458" spans="5:5" x14ac:dyDescent="0.2">
      <c r="E458" s="22"/>
    </row>
    <row r="459" spans="5:5" x14ac:dyDescent="0.2">
      <c r="E459" s="22"/>
    </row>
    <row r="460" spans="5:5" x14ac:dyDescent="0.2">
      <c r="E460" s="22"/>
    </row>
    <row r="461" spans="5:5" x14ac:dyDescent="0.2">
      <c r="E461" s="22"/>
    </row>
    <row r="462" spans="5:5" x14ac:dyDescent="0.2">
      <c r="E462" s="22"/>
    </row>
    <row r="463" spans="5:5" x14ac:dyDescent="0.2">
      <c r="E463" s="22"/>
    </row>
    <row r="464" spans="5:5" x14ac:dyDescent="0.2">
      <c r="E464" s="22"/>
    </row>
    <row r="465" spans="5:5" x14ac:dyDescent="0.2">
      <c r="E465" s="22"/>
    </row>
    <row r="466" spans="5:5" x14ac:dyDescent="0.2">
      <c r="E466" s="22"/>
    </row>
    <row r="467" spans="5:5" x14ac:dyDescent="0.2">
      <c r="E467" s="22"/>
    </row>
    <row r="468" spans="5:5" x14ac:dyDescent="0.2">
      <c r="E468" s="22"/>
    </row>
    <row r="469" spans="5:5" x14ac:dyDescent="0.2">
      <c r="E469" s="22"/>
    </row>
    <row r="470" spans="5:5" x14ac:dyDescent="0.2">
      <c r="E470" s="22"/>
    </row>
    <row r="471" spans="5:5" x14ac:dyDescent="0.2">
      <c r="E471" s="22"/>
    </row>
    <row r="472" spans="5:5" x14ac:dyDescent="0.2">
      <c r="E472" s="22"/>
    </row>
    <row r="473" spans="5:5" x14ac:dyDescent="0.2">
      <c r="E473" s="22"/>
    </row>
    <row r="474" spans="5:5" x14ac:dyDescent="0.2">
      <c r="E474" s="22"/>
    </row>
    <row r="475" spans="5:5" x14ac:dyDescent="0.2">
      <c r="E475" s="22"/>
    </row>
    <row r="476" spans="5:5" x14ac:dyDescent="0.2">
      <c r="E476" s="22"/>
    </row>
    <row r="477" spans="5:5" x14ac:dyDescent="0.2">
      <c r="E477" s="22"/>
    </row>
    <row r="478" spans="5:5" x14ac:dyDescent="0.2">
      <c r="E478" s="22"/>
    </row>
    <row r="479" spans="5:5" x14ac:dyDescent="0.2">
      <c r="E479" s="22"/>
    </row>
    <row r="480" spans="5:5" x14ac:dyDescent="0.2">
      <c r="E480" s="22"/>
    </row>
    <row r="481" spans="5:5" x14ac:dyDescent="0.2">
      <c r="E481" s="22"/>
    </row>
    <row r="482" spans="5:5" x14ac:dyDescent="0.2">
      <c r="E482" s="22"/>
    </row>
    <row r="483" spans="5:5" x14ac:dyDescent="0.2">
      <c r="E483" s="22"/>
    </row>
    <row r="484" spans="5:5" x14ac:dyDescent="0.2">
      <c r="E484" s="22"/>
    </row>
    <row r="485" spans="5:5" x14ac:dyDescent="0.2">
      <c r="E485" s="22"/>
    </row>
    <row r="486" spans="5:5" x14ac:dyDescent="0.2">
      <c r="E486" s="22"/>
    </row>
    <row r="487" spans="5:5" x14ac:dyDescent="0.2">
      <c r="E487" s="22"/>
    </row>
    <row r="488" spans="5:5" x14ac:dyDescent="0.2">
      <c r="E488" s="22"/>
    </row>
    <row r="489" spans="5:5" x14ac:dyDescent="0.2">
      <c r="E489" s="22"/>
    </row>
    <row r="490" spans="5:5" x14ac:dyDescent="0.2">
      <c r="E490" s="22"/>
    </row>
    <row r="491" spans="5:5" x14ac:dyDescent="0.2">
      <c r="E491" s="22"/>
    </row>
    <row r="492" spans="5:5" x14ac:dyDescent="0.2">
      <c r="E492" s="22"/>
    </row>
    <row r="493" spans="5:5" x14ac:dyDescent="0.2">
      <c r="E493" s="22"/>
    </row>
    <row r="494" spans="5:5" x14ac:dyDescent="0.2">
      <c r="E494" s="22"/>
    </row>
    <row r="495" spans="5:5" x14ac:dyDescent="0.2">
      <c r="E495" s="22"/>
    </row>
    <row r="496" spans="5:5" x14ac:dyDescent="0.2">
      <c r="E496" s="22"/>
    </row>
    <row r="497" spans="5:5" x14ac:dyDescent="0.2">
      <c r="E497" s="22"/>
    </row>
    <row r="498" spans="5:5" x14ac:dyDescent="0.2">
      <c r="E498" s="22"/>
    </row>
    <row r="499" spans="5:5" x14ac:dyDescent="0.2">
      <c r="E499" s="22"/>
    </row>
    <row r="500" spans="5:5" x14ac:dyDescent="0.2">
      <c r="E500" s="22"/>
    </row>
    <row r="501" spans="5:5" x14ac:dyDescent="0.2">
      <c r="E501" s="22"/>
    </row>
    <row r="502" spans="5:5" x14ac:dyDescent="0.2">
      <c r="E502" s="22"/>
    </row>
    <row r="503" spans="5:5" x14ac:dyDescent="0.2">
      <c r="E503" s="22"/>
    </row>
    <row r="504" spans="5:5" x14ac:dyDescent="0.2">
      <c r="E504" s="22"/>
    </row>
    <row r="505" spans="5:5" x14ac:dyDescent="0.2">
      <c r="E505" s="22"/>
    </row>
    <row r="506" spans="5:5" x14ac:dyDescent="0.2">
      <c r="E506" s="22"/>
    </row>
    <row r="507" spans="5:5" x14ac:dyDescent="0.2">
      <c r="E507" s="22"/>
    </row>
    <row r="508" spans="5:5" x14ac:dyDescent="0.2">
      <c r="E508" s="22"/>
    </row>
    <row r="509" spans="5:5" x14ac:dyDescent="0.2">
      <c r="E509" s="22"/>
    </row>
    <row r="510" spans="5:5" x14ac:dyDescent="0.2">
      <c r="E510" s="22"/>
    </row>
    <row r="511" spans="5:5" x14ac:dyDescent="0.2">
      <c r="E511" s="22"/>
    </row>
    <row r="512" spans="5:5" x14ac:dyDescent="0.2">
      <c r="E512" s="22"/>
    </row>
    <row r="513" spans="5:5" x14ac:dyDescent="0.2">
      <c r="E513" s="22"/>
    </row>
    <row r="514" spans="5:5" x14ac:dyDescent="0.2">
      <c r="E514" s="22"/>
    </row>
    <row r="515" spans="5:5" x14ac:dyDescent="0.2">
      <c r="E515" s="22"/>
    </row>
    <row r="516" spans="5:5" x14ac:dyDescent="0.2">
      <c r="E516" s="22"/>
    </row>
    <row r="517" spans="5:5" x14ac:dyDescent="0.2">
      <c r="E517" s="22"/>
    </row>
    <row r="518" spans="5:5" x14ac:dyDescent="0.2">
      <c r="E518" s="22"/>
    </row>
    <row r="519" spans="5:5" x14ac:dyDescent="0.2">
      <c r="E519" s="22"/>
    </row>
    <row r="520" spans="5:5" x14ac:dyDescent="0.2">
      <c r="E520" s="22"/>
    </row>
    <row r="521" spans="5:5" x14ac:dyDescent="0.2">
      <c r="E521" s="22"/>
    </row>
    <row r="522" spans="5:5" x14ac:dyDescent="0.2">
      <c r="E522" s="22"/>
    </row>
    <row r="523" spans="5:5" x14ac:dyDescent="0.2">
      <c r="E523" s="22"/>
    </row>
    <row r="524" spans="5:5" x14ac:dyDescent="0.2">
      <c r="E524" s="22"/>
    </row>
    <row r="525" spans="5:5" x14ac:dyDescent="0.2">
      <c r="E525" s="22"/>
    </row>
    <row r="526" spans="5:5" x14ac:dyDescent="0.2">
      <c r="E526" s="22"/>
    </row>
    <row r="527" spans="5:5" x14ac:dyDescent="0.2">
      <c r="E527" s="22"/>
    </row>
    <row r="528" spans="5:5" x14ac:dyDescent="0.2">
      <c r="E528" s="22"/>
    </row>
    <row r="529" spans="5:5" x14ac:dyDescent="0.2">
      <c r="E529" s="22"/>
    </row>
    <row r="530" spans="5:5" x14ac:dyDescent="0.2">
      <c r="E530" s="22"/>
    </row>
    <row r="531" spans="5:5" x14ac:dyDescent="0.2">
      <c r="E531" s="22"/>
    </row>
    <row r="532" spans="5:5" x14ac:dyDescent="0.2">
      <c r="E532" s="22"/>
    </row>
    <row r="533" spans="5:5" x14ac:dyDescent="0.2">
      <c r="E533" s="22"/>
    </row>
    <row r="534" spans="5:5" x14ac:dyDescent="0.2">
      <c r="E534" s="22"/>
    </row>
    <row r="535" spans="5:5" x14ac:dyDescent="0.2">
      <c r="E535" s="22"/>
    </row>
    <row r="536" spans="5:5" x14ac:dyDescent="0.2">
      <c r="E536" s="22"/>
    </row>
    <row r="537" spans="5:5" x14ac:dyDescent="0.2">
      <c r="E537" s="22"/>
    </row>
    <row r="538" spans="5:5" x14ac:dyDescent="0.2">
      <c r="E538" s="22"/>
    </row>
    <row r="539" spans="5:5" x14ac:dyDescent="0.2">
      <c r="E539" s="22"/>
    </row>
    <row r="540" spans="5:5" x14ac:dyDescent="0.2">
      <c r="E540" s="22"/>
    </row>
    <row r="541" spans="5:5" x14ac:dyDescent="0.2">
      <c r="E541" s="22"/>
    </row>
    <row r="542" spans="5:5" x14ac:dyDescent="0.2">
      <c r="E542" s="22"/>
    </row>
    <row r="543" spans="5:5" x14ac:dyDescent="0.2">
      <c r="E543" s="22"/>
    </row>
    <row r="544" spans="5:5" x14ac:dyDescent="0.2">
      <c r="E544" s="22"/>
    </row>
    <row r="545" spans="5:5" x14ac:dyDescent="0.2">
      <c r="E545" s="22"/>
    </row>
    <row r="546" spans="5:5" x14ac:dyDescent="0.2">
      <c r="E546" s="22"/>
    </row>
    <row r="547" spans="5:5" x14ac:dyDescent="0.2">
      <c r="E547" s="22"/>
    </row>
    <row r="548" spans="5:5" x14ac:dyDescent="0.2">
      <c r="E548" s="22"/>
    </row>
    <row r="549" spans="5:5" x14ac:dyDescent="0.2">
      <c r="E549" s="22"/>
    </row>
    <row r="550" spans="5:5" x14ac:dyDescent="0.2">
      <c r="E550" s="22"/>
    </row>
    <row r="551" spans="5:5" x14ac:dyDescent="0.2">
      <c r="E551" s="22"/>
    </row>
    <row r="552" spans="5:5" x14ac:dyDescent="0.2">
      <c r="E552" s="22"/>
    </row>
    <row r="553" spans="5:5" x14ac:dyDescent="0.2">
      <c r="E553" s="22"/>
    </row>
    <row r="554" spans="5:5" x14ac:dyDescent="0.2">
      <c r="E554" s="22"/>
    </row>
    <row r="555" spans="5:5" x14ac:dyDescent="0.2">
      <c r="E555" s="22"/>
    </row>
    <row r="556" spans="5:5" x14ac:dyDescent="0.2">
      <c r="E556" s="22"/>
    </row>
    <row r="557" spans="5:5" x14ac:dyDescent="0.2">
      <c r="E557" s="22"/>
    </row>
    <row r="558" spans="5:5" x14ac:dyDescent="0.2">
      <c r="E558" s="22"/>
    </row>
    <row r="559" spans="5:5" x14ac:dyDescent="0.2">
      <c r="E559" s="22"/>
    </row>
    <row r="560" spans="5:5" x14ac:dyDescent="0.2">
      <c r="E560" s="22"/>
    </row>
    <row r="561" spans="5:5" x14ac:dyDescent="0.2">
      <c r="E561" s="22"/>
    </row>
    <row r="562" spans="5:5" x14ac:dyDescent="0.2">
      <c r="E562" s="22"/>
    </row>
    <row r="563" spans="5:5" x14ac:dyDescent="0.2">
      <c r="E563" s="22"/>
    </row>
    <row r="564" spans="5:5" x14ac:dyDescent="0.2">
      <c r="E564" s="22"/>
    </row>
    <row r="565" spans="5:5" x14ac:dyDescent="0.2">
      <c r="E565" s="22"/>
    </row>
    <row r="566" spans="5:5" x14ac:dyDescent="0.2">
      <c r="E566" s="22"/>
    </row>
    <row r="567" spans="5:5" x14ac:dyDescent="0.2">
      <c r="E567" s="22"/>
    </row>
    <row r="568" spans="5:5" x14ac:dyDescent="0.2">
      <c r="E568" s="22"/>
    </row>
    <row r="569" spans="5:5" x14ac:dyDescent="0.2">
      <c r="E569" s="22"/>
    </row>
    <row r="570" spans="5:5" x14ac:dyDescent="0.2">
      <c r="E570" s="22"/>
    </row>
    <row r="571" spans="5:5" x14ac:dyDescent="0.2">
      <c r="E571" s="22"/>
    </row>
    <row r="572" spans="5:5" x14ac:dyDescent="0.2">
      <c r="E572" s="22"/>
    </row>
    <row r="573" spans="5:5" x14ac:dyDescent="0.2">
      <c r="E573" s="22"/>
    </row>
    <row r="574" spans="5:5" x14ac:dyDescent="0.2">
      <c r="E574" s="22"/>
    </row>
    <row r="575" spans="5:5" x14ac:dyDescent="0.2">
      <c r="E575" s="22"/>
    </row>
    <row r="576" spans="5:5" x14ac:dyDescent="0.2">
      <c r="E576" s="22"/>
    </row>
    <row r="577" spans="5:5" x14ac:dyDescent="0.2">
      <c r="E577" s="22"/>
    </row>
    <row r="578" spans="5:5" x14ac:dyDescent="0.2">
      <c r="E578" s="22"/>
    </row>
    <row r="579" spans="5:5" x14ac:dyDescent="0.2">
      <c r="E579" s="22"/>
    </row>
    <row r="580" spans="5:5" x14ac:dyDescent="0.2">
      <c r="E580" s="22"/>
    </row>
    <row r="581" spans="5:5" x14ac:dyDescent="0.2">
      <c r="E581" s="22"/>
    </row>
    <row r="582" spans="5:5" x14ac:dyDescent="0.2">
      <c r="E582" s="22"/>
    </row>
    <row r="583" spans="5:5" x14ac:dyDescent="0.2">
      <c r="E583" s="22"/>
    </row>
    <row r="584" spans="5:5" x14ac:dyDescent="0.2">
      <c r="E584" s="22"/>
    </row>
    <row r="585" spans="5:5" x14ac:dyDescent="0.2">
      <c r="E585" s="22"/>
    </row>
    <row r="586" spans="5:5" x14ac:dyDescent="0.2">
      <c r="E586" s="22"/>
    </row>
    <row r="587" spans="5:5" x14ac:dyDescent="0.2">
      <c r="E587" s="22"/>
    </row>
    <row r="588" spans="5:5" x14ac:dyDescent="0.2">
      <c r="E588" s="22"/>
    </row>
    <row r="589" spans="5:5" x14ac:dyDescent="0.2">
      <c r="E589" s="22"/>
    </row>
    <row r="590" spans="5:5" x14ac:dyDescent="0.2">
      <c r="E590" s="22"/>
    </row>
    <row r="591" spans="5:5" x14ac:dyDescent="0.2">
      <c r="E591" s="22"/>
    </row>
    <row r="592" spans="5:5" x14ac:dyDescent="0.2">
      <c r="E592" s="22"/>
    </row>
    <row r="593" spans="5:5" x14ac:dyDescent="0.2">
      <c r="E593" s="22"/>
    </row>
    <row r="594" spans="5:5" x14ac:dyDescent="0.2">
      <c r="E594" s="22"/>
    </row>
    <row r="595" spans="5:5" x14ac:dyDescent="0.2">
      <c r="E595" s="22"/>
    </row>
    <row r="596" spans="5:5" x14ac:dyDescent="0.2">
      <c r="E596" s="22"/>
    </row>
    <row r="597" spans="5:5" x14ac:dyDescent="0.2">
      <c r="E597" s="22"/>
    </row>
    <row r="598" spans="5:5" x14ac:dyDescent="0.2">
      <c r="E598" s="22"/>
    </row>
    <row r="599" spans="5:5" x14ac:dyDescent="0.2">
      <c r="E599" s="22"/>
    </row>
    <row r="600" spans="5:5" x14ac:dyDescent="0.2">
      <c r="E600" s="22"/>
    </row>
    <row r="601" spans="5:5" x14ac:dyDescent="0.2">
      <c r="E601" s="22"/>
    </row>
    <row r="602" spans="5:5" x14ac:dyDescent="0.2">
      <c r="E602" s="22"/>
    </row>
    <row r="603" spans="5:5" x14ac:dyDescent="0.2">
      <c r="E603" s="22"/>
    </row>
    <row r="604" spans="5:5" x14ac:dyDescent="0.2">
      <c r="E604" s="22"/>
    </row>
    <row r="605" spans="5:5" x14ac:dyDescent="0.2">
      <c r="E605" s="22"/>
    </row>
    <row r="606" spans="5:5" x14ac:dyDescent="0.2">
      <c r="E606" s="22"/>
    </row>
    <row r="607" spans="5:5" x14ac:dyDescent="0.2">
      <c r="E607" s="22"/>
    </row>
    <row r="608" spans="5:5" x14ac:dyDescent="0.2">
      <c r="E608" s="22"/>
    </row>
    <row r="609" spans="5:5" x14ac:dyDescent="0.2">
      <c r="E609" s="22"/>
    </row>
    <row r="610" spans="5:5" x14ac:dyDescent="0.2">
      <c r="E610" s="22"/>
    </row>
    <row r="611" spans="5:5" x14ac:dyDescent="0.2">
      <c r="E611" s="22"/>
    </row>
    <row r="612" spans="5:5" x14ac:dyDescent="0.2">
      <c r="E612" s="22"/>
    </row>
    <row r="613" spans="5:5" x14ac:dyDescent="0.2">
      <c r="E613" s="22"/>
    </row>
    <row r="614" spans="5:5" x14ac:dyDescent="0.2">
      <c r="E614" s="22"/>
    </row>
    <row r="615" spans="5:5" x14ac:dyDescent="0.2">
      <c r="E615" s="22"/>
    </row>
    <row r="616" spans="5:5" x14ac:dyDescent="0.2">
      <c r="E616" s="22"/>
    </row>
    <row r="617" spans="5:5" x14ac:dyDescent="0.2">
      <c r="E617" s="22"/>
    </row>
    <row r="618" spans="5:5" x14ac:dyDescent="0.2">
      <c r="E618" s="22"/>
    </row>
    <row r="619" spans="5:5" x14ac:dyDescent="0.2">
      <c r="E619" s="22"/>
    </row>
    <row r="620" spans="5:5" x14ac:dyDescent="0.2">
      <c r="E620" s="22"/>
    </row>
    <row r="621" spans="5:5" x14ac:dyDescent="0.2">
      <c r="E621" s="22"/>
    </row>
    <row r="622" spans="5:5" x14ac:dyDescent="0.2">
      <c r="E622" s="22"/>
    </row>
    <row r="623" spans="5:5" x14ac:dyDescent="0.2">
      <c r="E623" s="22"/>
    </row>
    <row r="624" spans="5:5" x14ac:dyDescent="0.2">
      <c r="E624" s="22"/>
    </row>
    <row r="625" spans="5:5" x14ac:dyDescent="0.2">
      <c r="E625" s="22"/>
    </row>
    <row r="626" spans="5:5" x14ac:dyDescent="0.2">
      <c r="E626" s="22"/>
    </row>
    <row r="627" spans="5:5" x14ac:dyDescent="0.2">
      <c r="E627" s="22"/>
    </row>
    <row r="628" spans="5:5" x14ac:dyDescent="0.2">
      <c r="E628" s="22"/>
    </row>
    <row r="629" spans="5:5" x14ac:dyDescent="0.2">
      <c r="E629" s="22"/>
    </row>
    <row r="630" spans="5:5" x14ac:dyDescent="0.2">
      <c r="E630" s="22"/>
    </row>
    <row r="631" spans="5:5" x14ac:dyDescent="0.2">
      <c r="E631" s="22"/>
    </row>
    <row r="632" spans="5:5" x14ac:dyDescent="0.2">
      <c r="E632" s="22"/>
    </row>
    <row r="633" spans="5:5" x14ac:dyDescent="0.2">
      <c r="E633" s="22"/>
    </row>
    <row r="634" spans="5:5" x14ac:dyDescent="0.2">
      <c r="E634" s="22"/>
    </row>
    <row r="635" spans="5:5" x14ac:dyDescent="0.2">
      <c r="E635" s="22"/>
    </row>
    <row r="636" spans="5:5" x14ac:dyDescent="0.2">
      <c r="E636" s="22"/>
    </row>
    <row r="637" spans="5:5" x14ac:dyDescent="0.2">
      <c r="E637" s="22"/>
    </row>
    <row r="638" spans="5:5" x14ac:dyDescent="0.2">
      <c r="E638" s="22"/>
    </row>
    <row r="639" spans="5:5" x14ac:dyDescent="0.2">
      <c r="E639" s="22"/>
    </row>
    <row r="640" spans="5:5" x14ac:dyDescent="0.2">
      <c r="E640" s="22"/>
    </row>
    <row r="641" spans="5:5" x14ac:dyDescent="0.2">
      <c r="E641" s="22"/>
    </row>
    <row r="642" spans="5:5" x14ac:dyDescent="0.2">
      <c r="E642" s="22"/>
    </row>
    <row r="643" spans="5:5" x14ac:dyDescent="0.2">
      <c r="E643" s="22"/>
    </row>
    <row r="644" spans="5:5" x14ac:dyDescent="0.2">
      <c r="E644" s="22"/>
    </row>
    <row r="645" spans="5:5" x14ac:dyDescent="0.2">
      <c r="E645" s="22"/>
    </row>
    <row r="646" spans="5:5" x14ac:dyDescent="0.2">
      <c r="E646" s="22"/>
    </row>
    <row r="647" spans="5:5" x14ac:dyDescent="0.2">
      <c r="E647" s="22"/>
    </row>
    <row r="648" spans="5:5" x14ac:dyDescent="0.2">
      <c r="E648" s="22"/>
    </row>
    <row r="649" spans="5:5" x14ac:dyDescent="0.2">
      <c r="E649" s="22"/>
    </row>
    <row r="650" spans="5:5" x14ac:dyDescent="0.2">
      <c r="E650" s="22"/>
    </row>
    <row r="651" spans="5:5" x14ac:dyDescent="0.2">
      <c r="E651" s="22"/>
    </row>
    <row r="652" spans="5:5" x14ac:dyDescent="0.2">
      <c r="E652" s="22"/>
    </row>
    <row r="653" spans="5:5" x14ac:dyDescent="0.2">
      <c r="E653" s="22"/>
    </row>
    <row r="654" spans="5:5" x14ac:dyDescent="0.2">
      <c r="E654" s="22"/>
    </row>
    <row r="655" spans="5:5" x14ac:dyDescent="0.2">
      <c r="E655" s="22"/>
    </row>
    <row r="656" spans="5:5" x14ac:dyDescent="0.2">
      <c r="E656" s="22"/>
    </row>
    <row r="657" spans="5:5" x14ac:dyDescent="0.2">
      <c r="E657" s="22"/>
    </row>
    <row r="658" spans="5:5" x14ac:dyDescent="0.2">
      <c r="E658" s="22"/>
    </row>
    <row r="659" spans="5:5" x14ac:dyDescent="0.2">
      <c r="E659" s="22"/>
    </row>
    <row r="660" spans="5:5" x14ac:dyDescent="0.2">
      <c r="E660" s="22"/>
    </row>
    <row r="661" spans="5:5" x14ac:dyDescent="0.2">
      <c r="E661" s="22"/>
    </row>
    <row r="662" spans="5:5" x14ac:dyDescent="0.2">
      <c r="E662" s="22"/>
    </row>
    <row r="663" spans="5:5" x14ac:dyDescent="0.2">
      <c r="E663" s="22"/>
    </row>
    <row r="664" spans="5:5" x14ac:dyDescent="0.2">
      <c r="E664" s="22"/>
    </row>
    <row r="665" spans="5:5" x14ac:dyDescent="0.2">
      <c r="E665" s="22"/>
    </row>
    <row r="666" spans="5:5" x14ac:dyDescent="0.2">
      <c r="E666" s="22"/>
    </row>
    <row r="667" spans="5:5" x14ac:dyDescent="0.2">
      <c r="E667" s="22"/>
    </row>
    <row r="668" spans="5:5" x14ac:dyDescent="0.2">
      <c r="E668" s="22"/>
    </row>
    <row r="669" spans="5:5" x14ac:dyDescent="0.2">
      <c r="E669" s="22"/>
    </row>
    <row r="670" spans="5:5" x14ac:dyDescent="0.2">
      <c r="E670" s="22"/>
    </row>
    <row r="671" spans="5:5" x14ac:dyDescent="0.2">
      <c r="E671" s="22"/>
    </row>
    <row r="672" spans="5:5" x14ac:dyDescent="0.2">
      <c r="E672" s="22"/>
    </row>
    <row r="673" spans="5:5" x14ac:dyDescent="0.2">
      <c r="E673" s="22"/>
    </row>
    <row r="674" spans="5:5" x14ac:dyDescent="0.2">
      <c r="E674" s="22"/>
    </row>
    <row r="675" spans="5:5" x14ac:dyDescent="0.2">
      <c r="E675" s="22"/>
    </row>
    <row r="676" spans="5:5" x14ac:dyDescent="0.2">
      <c r="E676" s="22"/>
    </row>
    <row r="677" spans="5:5" x14ac:dyDescent="0.2">
      <c r="E677" s="22"/>
    </row>
    <row r="678" spans="5:5" x14ac:dyDescent="0.2">
      <c r="E678" s="22"/>
    </row>
    <row r="679" spans="5:5" x14ac:dyDescent="0.2">
      <c r="E679" s="22"/>
    </row>
    <row r="680" spans="5:5" x14ac:dyDescent="0.2">
      <c r="E680" s="22"/>
    </row>
    <row r="681" spans="5:5" x14ac:dyDescent="0.2">
      <c r="E681" s="22"/>
    </row>
    <row r="682" spans="5:5" x14ac:dyDescent="0.2">
      <c r="E682" s="22"/>
    </row>
    <row r="683" spans="5:5" x14ac:dyDescent="0.2">
      <c r="E683" s="22"/>
    </row>
    <row r="684" spans="5:5" x14ac:dyDescent="0.2">
      <c r="E684" s="22"/>
    </row>
    <row r="685" spans="5:5" x14ac:dyDescent="0.2">
      <c r="E685" s="22"/>
    </row>
    <row r="686" spans="5:5" x14ac:dyDescent="0.2">
      <c r="E686" s="22"/>
    </row>
    <row r="687" spans="5:5" x14ac:dyDescent="0.2">
      <c r="E687" s="22"/>
    </row>
    <row r="688" spans="5:5" x14ac:dyDescent="0.2">
      <c r="E688" s="22"/>
    </row>
    <row r="689" spans="5:5" x14ac:dyDescent="0.2">
      <c r="E689" s="22"/>
    </row>
    <row r="690" spans="5:5" x14ac:dyDescent="0.2">
      <c r="E690" s="22"/>
    </row>
    <row r="691" spans="5:5" x14ac:dyDescent="0.2">
      <c r="E691" s="22"/>
    </row>
    <row r="692" spans="5:5" x14ac:dyDescent="0.2">
      <c r="E692" s="22"/>
    </row>
    <row r="693" spans="5:5" x14ac:dyDescent="0.2">
      <c r="E693" s="22"/>
    </row>
    <row r="694" spans="5:5" x14ac:dyDescent="0.2">
      <c r="E694" s="22"/>
    </row>
    <row r="695" spans="5:5" x14ac:dyDescent="0.2">
      <c r="E695" s="22"/>
    </row>
    <row r="696" spans="5:5" x14ac:dyDescent="0.2">
      <c r="E696" s="22"/>
    </row>
    <row r="697" spans="5:5" x14ac:dyDescent="0.2">
      <c r="E697" s="22"/>
    </row>
    <row r="698" spans="5:5" x14ac:dyDescent="0.2">
      <c r="E698" s="22"/>
    </row>
    <row r="699" spans="5:5" x14ac:dyDescent="0.2">
      <c r="E699" s="22"/>
    </row>
    <row r="700" spans="5:5" x14ac:dyDescent="0.2">
      <c r="E700" s="22"/>
    </row>
    <row r="701" spans="5:5" x14ac:dyDescent="0.2">
      <c r="E701" s="22"/>
    </row>
    <row r="702" spans="5:5" x14ac:dyDescent="0.2">
      <c r="E702" s="22"/>
    </row>
    <row r="703" spans="5:5" x14ac:dyDescent="0.2">
      <c r="E703" s="22"/>
    </row>
    <row r="704" spans="5:5" x14ac:dyDescent="0.2">
      <c r="E704" s="22"/>
    </row>
    <row r="705" spans="5:5" x14ac:dyDescent="0.2">
      <c r="E705" s="22"/>
    </row>
    <row r="706" spans="5:5" x14ac:dyDescent="0.2">
      <c r="E706" s="22"/>
    </row>
    <row r="707" spans="5:5" x14ac:dyDescent="0.2">
      <c r="E707" s="22"/>
    </row>
    <row r="708" spans="5:5" x14ac:dyDescent="0.2">
      <c r="E708" s="22"/>
    </row>
    <row r="709" spans="5:5" x14ac:dyDescent="0.2">
      <c r="E709" s="22"/>
    </row>
    <row r="710" spans="5:5" x14ac:dyDescent="0.2">
      <c r="E710" s="22"/>
    </row>
    <row r="711" spans="5:5" x14ac:dyDescent="0.2">
      <c r="E711" s="22"/>
    </row>
    <row r="712" spans="5:5" x14ac:dyDescent="0.2">
      <c r="E712" s="22"/>
    </row>
    <row r="713" spans="5:5" x14ac:dyDescent="0.2">
      <c r="E713" s="22"/>
    </row>
    <row r="714" spans="5:5" x14ac:dyDescent="0.2">
      <c r="E714" s="22"/>
    </row>
    <row r="715" spans="5:5" x14ac:dyDescent="0.2">
      <c r="E715" s="22"/>
    </row>
    <row r="716" spans="5:5" x14ac:dyDescent="0.2">
      <c r="E716" s="22"/>
    </row>
    <row r="717" spans="5:5" x14ac:dyDescent="0.2">
      <c r="E717" s="22"/>
    </row>
    <row r="718" spans="5:5" x14ac:dyDescent="0.2">
      <c r="E718" s="22"/>
    </row>
    <row r="719" spans="5:5" x14ac:dyDescent="0.2">
      <c r="E719" s="22"/>
    </row>
    <row r="720" spans="5:5" x14ac:dyDescent="0.2">
      <c r="E720" s="22"/>
    </row>
    <row r="721" spans="5:5" x14ac:dyDescent="0.2">
      <c r="E721" s="22"/>
    </row>
    <row r="722" spans="5:5" x14ac:dyDescent="0.2">
      <c r="E722" s="22"/>
    </row>
    <row r="723" spans="5:5" x14ac:dyDescent="0.2">
      <c r="E723" s="22"/>
    </row>
    <row r="724" spans="5:5" x14ac:dyDescent="0.2">
      <c r="E724" s="22"/>
    </row>
    <row r="725" spans="5:5" x14ac:dyDescent="0.2">
      <c r="E725" s="22"/>
    </row>
    <row r="726" spans="5:5" x14ac:dyDescent="0.2">
      <c r="E726" s="22"/>
    </row>
    <row r="727" spans="5:5" x14ac:dyDescent="0.2">
      <c r="E727" s="22"/>
    </row>
    <row r="728" spans="5:5" x14ac:dyDescent="0.2">
      <c r="E728" s="22"/>
    </row>
    <row r="729" spans="5:5" x14ac:dyDescent="0.2">
      <c r="E729" s="22"/>
    </row>
    <row r="730" spans="5:5" x14ac:dyDescent="0.2">
      <c r="E730" s="22"/>
    </row>
    <row r="731" spans="5:5" x14ac:dyDescent="0.2">
      <c r="E731" s="22"/>
    </row>
    <row r="732" spans="5:5" x14ac:dyDescent="0.2">
      <c r="E732" s="22"/>
    </row>
    <row r="733" spans="5:5" x14ac:dyDescent="0.2">
      <c r="E733" s="22"/>
    </row>
    <row r="734" spans="5:5" x14ac:dyDescent="0.2">
      <c r="E734" s="22"/>
    </row>
    <row r="735" spans="5:5" x14ac:dyDescent="0.2">
      <c r="E735" s="22"/>
    </row>
    <row r="736" spans="5:5" x14ac:dyDescent="0.2">
      <c r="E736" s="22"/>
    </row>
    <row r="737" spans="5:5" x14ac:dyDescent="0.2">
      <c r="E737" s="22"/>
    </row>
    <row r="738" spans="5:5" x14ac:dyDescent="0.2">
      <c r="E738" s="22"/>
    </row>
    <row r="739" spans="5:5" x14ac:dyDescent="0.2">
      <c r="E739" s="22"/>
    </row>
    <row r="740" spans="5:5" x14ac:dyDescent="0.2">
      <c r="E740" s="22"/>
    </row>
    <row r="741" spans="5:5" x14ac:dyDescent="0.2">
      <c r="E741" s="22"/>
    </row>
    <row r="742" spans="5:5" x14ac:dyDescent="0.2">
      <c r="E742" s="22"/>
    </row>
    <row r="743" spans="5:5" x14ac:dyDescent="0.2">
      <c r="E743" s="22"/>
    </row>
    <row r="744" spans="5:5" x14ac:dyDescent="0.2">
      <c r="E744" s="22"/>
    </row>
    <row r="745" spans="5:5" x14ac:dyDescent="0.2">
      <c r="E745" s="22"/>
    </row>
    <row r="746" spans="5:5" x14ac:dyDescent="0.2">
      <c r="E746" s="22"/>
    </row>
    <row r="747" spans="5:5" x14ac:dyDescent="0.2">
      <c r="E747" s="22"/>
    </row>
    <row r="748" spans="5:5" x14ac:dyDescent="0.2">
      <c r="E748" s="22"/>
    </row>
    <row r="749" spans="5:5" x14ac:dyDescent="0.2">
      <c r="E749" s="22"/>
    </row>
    <row r="750" spans="5:5" x14ac:dyDescent="0.2">
      <c r="E750" s="22"/>
    </row>
    <row r="751" spans="5:5" x14ac:dyDescent="0.2">
      <c r="E751" s="22"/>
    </row>
    <row r="752" spans="5:5" x14ac:dyDescent="0.2">
      <c r="E752" s="22"/>
    </row>
    <row r="753" spans="5:5" x14ac:dyDescent="0.2">
      <c r="E753" s="22"/>
    </row>
    <row r="754" spans="5:5" x14ac:dyDescent="0.2">
      <c r="E754" s="22"/>
    </row>
    <row r="755" spans="5:5" x14ac:dyDescent="0.2">
      <c r="E755" s="22"/>
    </row>
    <row r="756" spans="5:5" x14ac:dyDescent="0.2">
      <c r="E756" s="22"/>
    </row>
    <row r="757" spans="5:5" x14ac:dyDescent="0.2">
      <c r="E757" s="22"/>
    </row>
    <row r="758" spans="5:5" x14ac:dyDescent="0.2">
      <c r="E758" s="22"/>
    </row>
    <row r="759" spans="5:5" x14ac:dyDescent="0.2">
      <c r="E759" s="22"/>
    </row>
    <row r="760" spans="5:5" x14ac:dyDescent="0.2">
      <c r="E760" s="22"/>
    </row>
    <row r="761" spans="5:5" x14ac:dyDescent="0.2">
      <c r="E761" s="22"/>
    </row>
    <row r="762" spans="5:5" x14ac:dyDescent="0.2">
      <c r="E762" s="22"/>
    </row>
    <row r="763" spans="5:5" x14ac:dyDescent="0.2">
      <c r="E763" s="22"/>
    </row>
    <row r="764" spans="5:5" x14ac:dyDescent="0.2">
      <c r="E764" s="22"/>
    </row>
    <row r="765" spans="5:5" x14ac:dyDescent="0.2">
      <c r="E765" s="22"/>
    </row>
    <row r="766" spans="5:5" x14ac:dyDescent="0.2">
      <c r="E766" s="22"/>
    </row>
    <row r="767" spans="5:5" x14ac:dyDescent="0.2">
      <c r="E767" s="22"/>
    </row>
    <row r="768" spans="5:5" x14ac:dyDescent="0.2">
      <c r="E768" s="22"/>
    </row>
    <row r="769" spans="5:5" x14ac:dyDescent="0.2">
      <c r="E769" s="22"/>
    </row>
    <row r="770" spans="5:5" x14ac:dyDescent="0.2">
      <c r="E770" s="22"/>
    </row>
    <row r="771" spans="5:5" x14ac:dyDescent="0.2">
      <c r="E771" s="22"/>
    </row>
    <row r="772" spans="5:5" x14ac:dyDescent="0.2">
      <c r="E772" s="22"/>
    </row>
    <row r="773" spans="5:5" x14ac:dyDescent="0.2">
      <c r="E773" s="22"/>
    </row>
    <row r="774" spans="5:5" x14ac:dyDescent="0.2">
      <c r="E774" s="22"/>
    </row>
    <row r="775" spans="5:5" x14ac:dyDescent="0.2">
      <c r="E775" s="22"/>
    </row>
    <row r="776" spans="5:5" x14ac:dyDescent="0.2">
      <c r="E776" s="22"/>
    </row>
    <row r="777" spans="5:5" x14ac:dyDescent="0.2">
      <c r="E777" s="22"/>
    </row>
    <row r="778" spans="5:5" x14ac:dyDescent="0.2">
      <c r="E778" s="22"/>
    </row>
    <row r="779" spans="5:5" x14ac:dyDescent="0.2">
      <c r="E779" s="22"/>
    </row>
    <row r="780" spans="5:5" x14ac:dyDescent="0.2">
      <c r="E780" s="22"/>
    </row>
    <row r="781" spans="5:5" x14ac:dyDescent="0.2">
      <c r="E781" s="22"/>
    </row>
    <row r="782" spans="5:5" x14ac:dyDescent="0.2">
      <c r="E782" s="22"/>
    </row>
    <row r="783" spans="5:5" x14ac:dyDescent="0.2">
      <c r="E783" s="22"/>
    </row>
    <row r="784" spans="5:5" x14ac:dyDescent="0.2">
      <c r="E784" s="22"/>
    </row>
    <row r="785" spans="5:5" x14ac:dyDescent="0.2">
      <c r="E785" s="22"/>
    </row>
    <row r="786" spans="5:5" x14ac:dyDescent="0.2">
      <c r="E786" s="22"/>
    </row>
    <row r="787" spans="5:5" x14ac:dyDescent="0.2">
      <c r="E787" s="22"/>
    </row>
    <row r="788" spans="5:5" x14ac:dyDescent="0.2">
      <c r="E788" s="22"/>
    </row>
    <row r="789" spans="5:5" x14ac:dyDescent="0.2">
      <c r="E789" s="22"/>
    </row>
    <row r="790" spans="5:5" x14ac:dyDescent="0.2">
      <c r="E790" s="22"/>
    </row>
    <row r="791" spans="5:5" x14ac:dyDescent="0.2">
      <c r="E791" s="22"/>
    </row>
    <row r="792" spans="5:5" x14ac:dyDescent="0.2">
      <c r="E792" s="22"/>
    </row>
    <row r="793" spans="5:5" x14ac:dyDescent="0.2">
      <c r="E793" s="22"/>
    </row>
    <row r="794" spans="5:5" x14ac:dyDescent="0.2">
      <c r="E794" s="22"/>
    </row>
    <row r="795" spans="5:5" x14ac:dyDescent="0.2">
      <c r="E795" s="22"/>
    </row>
    <row r="796" spans="5:5" x14ac:dyDescent="0.2">
      <c r="E796" s="22"/>
    </row>
    <row r="797" spans="5:5" x14ac:dyDescent="0.2">
      <c r="E797" s="22"/>
    </row>
    <row r="798" spans="5:5" x14ac:dyDescent="0.2">
      <c r="E798" s="22"/>
    </row>
    <row r="799" spans="5:5" x14ac:dyDescent="0.2">
      <c r="E799" s="22"/>
    </row>
    <row r="800" spans="5:5" x14ac:dyDescent="0.2">
      <c r="E800" s="22"/>
    </row>
    <row r="801" spans="5:5" x14ac:dyDescent="0.2">
      <c r="E801" s="22"/>
    </row>
    <row r="802" spans="5:5" x14ac:dyDescent="0.2">
      <c r="E802" s="22"/>
    </row>
    <row r="803" spans="5:5" x14ac:dyDescent="0.2">
      <c r="E803" s="22"/>
    </row>
    <row r="804" spans="5:5" x14ac:dyDescent="0.2">
      <c r="E804" s="22"/>
    </row>
    <row r="805" spans="5:5" x14ac:dyDescent="0.2">
      <c r="E805" s="22"/>
    </row>
    <row r="806" spans="5:5" x14ac:dyDescent="0.2">
      <c r="E806" s="22"/>
    </row>
    <row r="807" spans="5:5" x14ac:dyDescent="0.2">
      <c r="E807" s="22"/>
    </row>
    <row r="808" spans="5:5" x14ac:dyDescent="0.2">
      <c r="E808" s="22"/>
    </row>
    <row r="809" spans="5:5" x14ac:dyDescent="0.2">
      <c r="E809" s="22"/>
    </row>
    <row r="810" spans="5:5" x14ac:dyDescent="0.2">
      <c r="E810" s="22"/>
    </row>
    <row r="811" spans="5:5" x14ac:dyDescent="0.2">
      <c r="E811" s="22"/>
    </row>
    <row r="812" spans="5:5" x14ac:dyDescent="0.2">
      <c r="E812" s="22"/>
    </row>
    <row r="813" spans="5:5" x14ac:dyDescent="0.2">
      <c r="E813" s="22"/>
    </row>
    <row r="814" spans="5:5" x14ac:dyDescent="0.2">
      <c r="E814" s="22"/>
    </row>
    <row r="815" spans="5:5" x14ac:dyDescent="0.2">
      <c r="E815" s="22"/>
    </row>
    <row r="816" spans="5:5" x14ac:dyDescent="0.2">
      <c r="E816" s="22"/>
    </row>
    <row r="817" spans="5:5" x14ac:dyDescent="0.2">
      <c r="E817" s="22"/>
    </row>
    <row r="818" spans="5:5" x14ac:dyDescent="0.2">
      <c r="E818" s="22"/>
    </row>
    <row r="819" spans="5:5" x14ac:dyDescent="0.2">
      <c r="E819" s="22"/>
    </row>
    <row r="820" spans="5:5" x14ac:dyDescent="0.2">
      <c r="E820" s="22"/>
    </row>
    <row r="821" spans="5:5" x14ac:dyDescent="0.2">
      <c r="E821" s="22"/>
    </row>
    <row r="822" spans="5:5" x14ac:dyDescent="0.2">
      <c r="E822" s="22"/>
    </row>
    <row r="823" spans="5:5" x14ac:dyDescent="0.2">
      <c r="E823" s="22"/>
    </row>
    <row r="824" spans="5:5" x14ac:dyDescent="0.2">
      <c r="E824" s="22"/>
    </row>
    <row r="825" spans="5:5" x14ac:dyDescent="0.2">
      <c r="E825" s="22"/>
    </row>
    <row r="826" spans="5:5" x14ac:dyDescent="0.2">
      <c r="E826" s="22"/>
    </row>
    <row r="827" spans="5:5" x14ac:dyDescent="0.2">
      <c r="E827" s="22"/>
    </row>
    <row r="828" spans="5:5" x14ac:dyDescent="0.2">
      <c r="E828" s="22"/>
    </row>
    <row r="829" spans="5:5" x14ac:dyDescent="0.2">
      <c r="E829" s="22"/>
    </row>
    <row r="830" spans="5:5" x14ac:dyDescent="0.2">
      <c r="E830" s="22"/>
    </row>
    <row r="831" spans="5:5" x14ac:dyDescent="0.2">
      <c r="E831" s="22"/>
    </row>
    <row r="832" spans="5:5" x14ac:dyDescent="0.2">
      <c r="E832" s="22"/>
    </row>
    <row r="833" spans="5:5" x14ac:dyDescent="0.2">
      <c r="E833" s="22"/>
    </row>
    <row r="834" spans="5:5" x14ac:dyDescent="0.2">
      <c r="E834" s="22"/>
    </row>
    <row r="835" spans="5:5" x14ac:dyDescent="0.2">
      <c r="E835" s="22"/>
    </row>
    <row r="836" spans="5:5" x14ac:dyDescent="0.2">
      <c r="E836" s="22"/>
    </row>
    <row r="837" spans="5:5" x14ac:dyDescent="0.2">
      <c r="E837" s="22"/>
    </row>
    <row r="838" spans="5:5" x14ac:dyDescent="0.2">
      <c r="E838" s="22"/>
    </row>
    <row r="839" spans="5:5" x14ac:dyDescent="0.2">
      <c r="E839" s="22"/>
    </row>
    <row r="840" spans="5:5" x14ac:dyDescent="0.2">
      <c r="E840" s="22"/>
    </row>
    <row r="841" spans="5:5" x14ac:dyDescent="0.2">
      <c r="E841" s="22"/>
    </row>
    <row r="842" spans="5:5" x14ac:dyDescent="0.2">
      <c r="E842" s="22"/>
    </row>
    <row r="843" spans="5:5" x14ac:dyDescent="0.2">
      <c r="E843" s="22"/>
    </row>
    <row r="844" spans="5:5" x14ac:dyDescent="0.2">
      <c r="E844" s="22"/>
    </row>
    <row r="845" spans="5:5" x14ac:dyDescent="0.2">
      <c r="E845" s="22"/>
    </row>
    <row r="846" spans="5:5" x14ac:dyDescent="0.2">
      <c r="E846" s="22"/>
    </row>
    <row r="847" spans="5:5" x14ac:dyDescent="0.2">
      <c r="E847" s="22"/>
    </row>
    <row r="848" spans="5:5" x14ac:dyDescent="0.2">
      <c r="E848" s="22"/>
    </row>
    <row r="849" spans="5:5" x14ac:dyDescent="0.2">
      <c r="E849" s="22"/>
    </row>
    <row r="850" spans="5:5" x14ac:dyDescent="0.2">
      <c r="E850" s="22"/>
    </row>
    <row r="851" spans="5:5" x14ac:dyDescent="0.2">
      <c r="E851" s="22"/>
    </row>
    <row r="852" spans="5:5" x14ac:dyDescent="0.2">
      <c r="E852" s="22"/>
    </row>
    <row r="853" spans="5:5" x14ac:dyDescent="0.2">
      <c r="E853" s="22"/>
    </row>
    <row r="854" spans="5:5" x14ac:dyDescent="0.2">
      <c r="E854" s="22"/>
    </row>
    <row r="855" spans="5:5" x14ac:dyDescent="0.2">
      <c r="E855" s="22"/>
    </row>
    <row r="856" spans="5:5" x14ac:dyDescent="0.2">
      <c r="E856" s="22"/>
    </row>
    <row r="857" spans="5:5" x14ac:dyDescent="0.2">
      <c r="E857" s="22"/>
    </row>
    <row r="858" spans="5:5" x14ac:dyDescent="0.2">
      <c r="E858" s="22"/>
    </row>
    <row r="859" spans="5:5" x14ac:dyDescent="0.2">
      <c r="E859" s="22"/>
    </row>
    <row r="860" spans="5:5" x14ac:dyDescent="0.2">
      <c r="E860" s="22"/>
    </row>
    <row r="861" spans="5:5" x14ac:dyDescent="0.2">
      <c r="E861" s="22"/>
    </row>
    <row r="862" spans="5:5" x14ac:dyDescent="0.2">
      <c r="E862" s="22"/>
    </row>
    <row r="863" spans="5:5" x14ac:dyDescent="0.2">
      <c r="E863" s="22"/>
    </row>
    <row r="864" spans="5:5" x14ac:dyDescent="0.2">
      <c r="E864" s="22"/>
    </row>
    <row r="865" spans="5:5" x14ac:dyDescent="0.2">
      <c r="E865" s="22"/>
    </row>
    <row r="866" spans="5:5" x14ac:dyDescent="0.2">
      <c r="E866" s="22"/>
    </row>
    <row r="867" spans="5:5" x14ac:dyDescent="0.2">
      <c r="E867" s="22"/>
    </row>
    <row r="868" spans="5:5" x14ac:dyDescent="0.2">
      <c r="E868" s="22"/>
    </row>
    <row r="869" spans="5:5" x14ac:dyDescent="0.2">
      <c r="E869" s="22"/>
    </row>
    <row r="870" spans="5:5" x14ac:dyDescent="0.2">
      <c r="E870" s="22"/>
    </row>
    <row r="871" spans="5:5" x14ac:dyDescent="0.2">
      <c r="E871" s="22"/>
    </row>
    <row r="872" spans="5:5" x14ac:dyDescent="0.2">
      <c r="E872" s="22"/>
    </row>
    <row r="873" spans="5:5" x14ac:dyDescent="0.2">
      <c r="E873" s="22"/>
    </row>
    <row r="874" spans="5:5" x14ac:dyDescent="0.2">
      <c r="E874" s="22"/>
    </row>
    <row r="875" spans="5:5" x14ac:dyDescent="0.2">
      <c r="E875" s="22"/>
    </row>
    <row r="876" spans="5:5" x14ac:dyDescent="0.2">
      <c r="E876" s="22"/>
    </row>
    <row r="877" spans="5:5" x14ac:dyDescent="0.2">
      <c r="E877" s="22"/>
    </row>
    <row r="878" spans="5:5" x14ac:dyDescent="0.2">
      <c r="E878" s="22"/>
    </row>
    <row r="879" spans="5:5" x14ac:dyDescent="0.2">
      <c r="E879" s="22"/>
    </row>
    <row r="880" spans="5:5" x14ac:dyDescent="0.2">
      <c r="E880" s="22"/>
    </row>
    <row r="881" spans="5:5" x14ac:dyDescent="0.2">
      <c r="E881" s="22"/>
    </row>
    <row r="882" spans="5:5" x14ac:dyDescent="0.2">
      <c r="E882" s="22"/>
    </row>
    <row r="883" spans="5:5" x14ac:dyDescent="0.2">
      <c r="E883" s="22"/>
    </row>
    <row r="884" spans="5:5" x14ac:dyDescent="0.2">
      <c r="E884" s="22"/>
    </row>
    <row r="885" spans="5:5" x14ac:dyDescent="0.2">
      <c r="E885" s="22"/>
    </row>
    <row r="886" spans="5:5" x14ac:dyDescent="0.2">
      <c r="E886" s="22"/>
    </row>
    <row r="887" spans="5:5" x14ac:dyDescent="0.2">
      <c r="E887" s="22"/>
    </row>
    <row r="888" spans="5:5" x14ac:dyDescent="0.2">
      <c r="E888" s="22"/>
    </row>
    <row r="889" spans="5:5" x14ac:dyDescent="0.2">
      <c r="E889" s="22"/>
    </row>
    <row r="890" spans="5:5" x14ac:dyDescent="0.2">
      <c r="E890" s="22"/>
    </row>
    <row r="891" spans="5:5" x14ac:dyDescent="0.2">
      <c r="E891" s="22"/>
    </row>
    <row r="892" spans="5:5" x14ac:dyDescent="0.2">
      <c r="E892" s="22"/>
    </row>
    <row r="893" spans="5:5" x14ac:dyDescent="0.2">
      <c r="E893" s="22"/>
    </row>
    <row r="894" spans="5:5" x14ac:dyDescent="0.2">
      <c r="E894" s="22"/>
    </row>
    <row r="895" spans="5:5" x14ac:dyDescent="0.2">
      <c r="E895" s="22"/>
    </row>
    <row r="896" spans="5:5" x14ac:dyDescent="0.2">
      <c r="E896" s="22"/>
    </row>
    <row r="897" spans="5:5" x14ac:dyDescent="0.2">
      <c r="E897" s="22"/>
    </row>
    <row r="898" spans="5:5" x14ac:dyDescent="0.2">
      <c r="E898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78"/>
  <sheetViews>
    <sheetView workbookViewId="0">
      <selection activeCell="J1" sqref="J1:K1048576"/>
    </sheetView>
  </sheetViews>
  <sheetFormatPr defaultColWidth="12.5703125" defaultRowHeight="15.75" customHeight="1" x14ac:dyDescent="0.2"/>
  <sheetData>
    <row r="1" spans="1:9" ht="15.75" customHeight="1" x14ac:dyDescent="0.25">
      <c r="A1" s="25" t="s">
        <v>2</v>
      </c>
      <c r="B1" s="25" t="s">
        <v>18</v>
      </c>
      <c r="C1" s="25" t="s">
        <v>40</v>
      </c>
      <c r="D1" s="1" t="s">
        <v>401</v>
      </c>
      <c r="E1" s="1" t="s">
        <v>402</v>
      </c>
      <c r="F1" s="2" t="s">
        <v>403</v>
      </c>
      <c r="G1" s="1" t="s">
        <v>404</v>
      </c>
      <c r="H1" s="1" t="s">
        <v>9</v>
      </c>
      <c r="I1" s="2" t="s">
        <v>9</v>
      </c>
    </row>
    <row r="2" spans="1:9" ht="15.75" customHeight="1" x14ac:dyDescent="0.25">
      <c r="A2" s="5">
        <v>1</v>
      </c>
      <c r="B2" s="5" t="s">
        <v>74</v>
      </c>
      <c r="C2" s="26" t="s">
        <v>405</v>
      </c>
      <c r="D2" s="5" t="s">
        <v>406</v>
      </c>
      <c r="E2" s="6" t="s">
        <v>407</v>
      </c>
      <c r="F2" s="7" t="str">
        <f t="shared" ref="F2:F49" si="0">CONCATENATE(PROPER(D2),".mp4")</f>
        <v>Tegne.mp4</v>
      </c>
      <c r="G2" s="5" t="s">
        <v>111</v>
      </c>
      <c r="H2" s="6" t="s">
        <v>408</v>
      </c>
      <c r="I2" s="22" t="str">
        <f t="shared" ref="I2:I49" si="1">CONCATENATE(A2+48,".mp4")</f>
        <v>49.mp4</v>
      </c>
    </row>
    <row r="3" spans="1:9" ht="15.75" customHeight="1" x14ac:dyDescent="0.25">
      <c r="A3" s="26">
        <v>2</v>
      </c>
      <c r="B3" s="26" t="s">
        <v>40</v>
      </c>
      <c r="C3" s="26" t="s">
        <v>409</v>
      </c>
      <c r="D3" s="5" t="s">
        <v>410</v>
      </c>
      <c r="E3" s="6" t="s">
        <v>411</v>
      </c>
      <c r="F3" s="7" t="str">
        <f t="shared" si="0"/>
        <v>Fotball.mp4</v>
      </c>
      <c r="G3" s="5" t="s">
        <v>412</v>
      </c>
      <c r="H3" s="6" t="s">
        <v>413</v>
      </c>
      <c r="I3" s="22" t="str">
        <f t="shared" si="1"/>
        <v>50.mp4</v>
      </c>
    </row>
    <row r="4" spans="1:9" ht="15.75" customHeight="1" x14ac:dyDescent="0.25">
      <c r="A4" s="5">
        <v>3</v>
      </c>
      <c r="B4" s="26" t="s">
        <v>40</v>
      </c>
      <c r="C4" s="26" t="s">
        <v>414</v>
      </c>
      <c r="D4" s="5" t="s">
        <v>415</v>
      </c>
      <c r="E4" s="6" t="s">
        <v>416</v>
      </c>
      <c r="F4" s="7" t="str">
        <f t="shared" si="0"/>
        <v>Gate.mp4</v>
      </c>
      <c r="G4" s="5" t="s">
        <v>417</v>
      </c>
      <c r="H4" s="16" t="s">
        <v>418</v>
      </c>
      <c r="I4" s="22" t="str">
        <f t="shared" si="1"/>
        <v>51.mp4</v>
      </c>
    </row>
    <row r="5" spans="1:9" ht="15.75" customHeight="1" x14ac:dyDescent="0.25">
      <c r="A5" s="26">
        <v>4</v>
      </c>
      <c r="B5" s="5" t="s">
        <v>74</v>
      </c>
      <c r="C5" s="26" t="s">
        <v>419</v>
      </c>
      <c r="D5" s="5" t="s">
        <v>420</v>
      </c>
      <c r="E5" s="6" t="s">
        <v>421</v>
      </c>
      <c r="F5" s="7" t="str">
        <f t="shared" si="0"/>
        <v>Snakke.mp4</v>
      </c>
      <c r="G5" s="5" t="s">
        <v>422</v>
      </c>
      <c r="H5" s="6" t="s">
        <v>423</v>
      </c>
      <c r="I5" s="22" t="str">
        <f t="shared" si="1"/>
        <v>52.mp4</v>
      </c>
    </row>
    <row r="6" spans="1:9" ht="15.75" customHeight="1" x14ac:dyDescent="0.25">
      <c r="A6" s="5">
        <v>5</v>
      </c>
      <c r="B6" s="26" t="s">
        <v>40</v>
      </c>
      <c r="C6" s="26" t="s">
        <v>424</v>
      </c>
      <c r="D6" s="5" t="s">
        <v>425</v>
      </c>
      <c r="E6" s="6" t="s">
        <v>426</v>
      </c>
      <c r="F6" s="7" t="str">
        <f t="shared" si="0"/>
        <v>Kirke.mp4</v>
      </c>
      <c r="G6" s="5" t="s">
        <v>427</v>
      </c>
      <c r="H6" s="6" t="s">
        <v>428</v>
      </c>
      <c r="I6" s="22" t="str">
        <f t="shared" si="1"/>
        <v>53.mp4</v>
      </c>
    </row>
    <row r="7" spans="1:9" ht="15.75" customHeight="1" x14ac:dyDescent="0.25">
      <c r="A7" s="26">
        <v>6</v>
      </c>
      <c r="B7" s="5" t="s">
        <v>74</v>
      </c>
      <c r="C7" s="26" t="s">
        <v>429</v>
      </c>
      <c r="D7" s="5" t="s">
        <v>430</v>
      </c>
      <c r="E7" s="6" t="s">
        <v>431</v>
      </c>
      <c r="F7" s="7" t="str">
        <f t="shared" si="0"/>
        <v>Invitere.mp4</v>
      </c>
      <c r="G7" s="5" t="s">
        <v>432</v>
      </c>
      <c r="H7" s="6" t="s">
        <v>433</v>
      </c>
      <c r="I7" s="22" t="str">
        <f t="shared" si="1"/>
        <v>54.mp4</v>
      </c>
    </row>
    <row r="8" spans="1:9" ht="15.75" customHeight="1" x14ac:dyDescent="0.25">
      <c r="A8" s="5">
        <v>7</v>
      </c>
      <c r="B8" s="26" t="s">
        <v>40</v>
      </c>
      <c r="C8" s="26" t="s">
        <v>434</v>
      </c>
      <c r="D8" s="5" t="s">
        <v>435</v>
      </c>
      <c r="E8" s="6" t="s">
        <v>436</v>
      </c>
      <c r="F8" s="7" t="str">
        <f t="shared" si="0"/>
        <v>Jord.mp4</v>
      </c>
      <c r="G8" s="5" t="s">
        <v>437</v>
      </c>
      <c r="H8" s="6" t="s">
        <v>438</v>
      </c>
      <c r="I8" s="22" t="str">
        <f t="shared" si="1"/>
        <v>55.mp4</v>
      </c>
    </row>
    <row r="9" spans="1:9" ht="15.75" customHeight="1" x14ac:dyDescent="0.25">
      <c r="A9" s="26">
        <v>8</v>
      </c>
      <c r="B9" s="5" t="s">
        <v>74</v>
      </c>
      <c r="C9" s="26" t="s">
        <v>439</v>
      </c>
      <c r="D9" s="5" t="s">
        <v>440</v>
      </c>
      <c r="E9" s="6" t="s">
        <v>441</v>
      </c>
      <c r="F9" s="7" t="str">
        <f t="shared" si="0"/>
        <v>Flytte.mp4</v>
      </c>
      <c r="G9" s="5" t="s">
        <v>442</v>
      </c>
      <c r="H9" s="6" t="s">
        <v>443</v>
      </c>
      <c r="I9" s="22" t="str">
        <f t="shared" si="1"/>
        <v>56.mp4</v>
      </c>
    </row>
    <row r="10" spans="1:9" ht="15.75" customHeight="1" x14ac:dyDescent="0.25">
      <c r="A10" s="5">
        <v>9</v>
      </c>
      <c r="B10" s="5" t="s">
        <v>74</v>
      </c>
      <c r="C10" s="26" t="s">
        <v>444</v>
      </c>
      <c r="D10" s="5" t="s">
        <v>445</v>
      </c>
      <c r="E10" s="6" t="s">
        <v>446</v>
      </c>
      <c r="F10" s="7" t="str">
        <f t="shared" si="0"/>
        <v>Dø.mp4</v>
      </c>
      <c r="G10" s="5" t="s">
        <v>447</v>
      </c>
      <c r="H10" s="6" t="s">
        <v>448</v>
      </c>
      <c r="I10" s="22" t="str">
        <f t="shared" si="1"/>
        <v>57.mp4</v>
      </c>
    </row>
    <row r="11" spans="1:9" ht="15.75" customHeight="1" x14ac:dyDescent="0.25">
      <c r="A11" s="26">
        <v>10</v>
      </c>
      <c r="B11" s="26" t="s">
        <v>40</v>
      </c>
      <c r="C11" s="26" t="s">
        <v>449</v>
      </c>
      <c r="D11" s="5" t="s">
        <v>450</v>
      </c>
      <c r="E11" s="6" t="s">
        <v>451</v>
      </c>
      <c r="F11" s="7" t="str">
        <f t="shared" si="0"/>
        <v>Kjøtt.mp4</v>
      </c>
      <c r="G11" s="5" t="s">
        <v>452</v>
      </c>
      <c r="H11" s="6" t="s">
        <v>453</v>
      </c>
      <c r="I11" s="22" t="str">
        <f t="shared" si="1"/>
        <v>58.mp4</v>
      </c>
    </row>
    <row r="12" spans="1:9" ht="15.75" customHeight="1" x14ac:dyDescent="0.25">
      <c r="A12" s="5">
        <v>11</v>
      </c>
      <c r="B12" s="5" t="s">
        <v>74</v>
      </c>
      <c r="C12" s="26" t="s">
        <v>454</v>
      </c>
      <c r="D12" s="5" t="s">
        <v>455</v>
      </c>
      <c r="E12" s="6" t="s">
        <v>456</v>
      </c>
      <c r="F12" s="7" t="str">
        <f t="shared" si="0"/>
        <v>Jakt.mp4</v>
      </c>
      <c r="G12" s="5" t="s">
        <v>457</v>
      </c>
      <c r="H12" s="6" t="s">
        <v>458</v>
      </c>
      <c r="I12" s="22" t="str">
        <f t="shared" si="1"/>
        <v>59.mp4</v>
      </c>
    </row>
    <row r="13" spans="1:9" ht="15.75" customHeight="1" x14ac:dyDescent="0.25">
      <c r="A13" s="26">
        <v>12</v>
      </c>
      <c r="B13" s="26" t="s">
        <v>40</v>
      </c>
      <c r="C13" s="26" t="s">
        <v>459</v>
      </c>
      <c r="D13" s="5" t="s">
        <v>460</v>
      </c>
      <c r="E13" s="6" t="s">
        <v>461</v>
      </c>
      <c r="F13" s="7" t="str">
        <f t="shared" si="0"/>
        <v>Snø.mp4</v>
      </c>
      <c r="G13" s="5" t="s">
        <v>462</v>
      </c>
      <c r="H13" s="6" t="s">
        <v>463</v>
      </c>
      <c r="I13" s="22" t="str">
        <f t="shared" si="1"/>
        <v>60.mp4</v>
      </c>
    </row>
    <row r="14" spans="1:9" ht="15.75" customHeight="1" x14ac:dyDescent="0.25">
      <c r="A14" s="5">
        <v>13</v>
      </c>
      <c r="B14" s="26" t="s">
        <v>40</v>
      </c>
      <c r="C14" s="26" t="s">
        <v>464</v>
      </c>
      <c r="D14" s="5" t="s">
        <v>465</v>
      </c>
      <c r="E14" s="6" t="s">
        <v>466</v>
      </c>
      <c r="F14" s="7" t="str">
        <f t="shared" si="0"/>
        <v>Blod.mp4</v>
      </c>
      <c r="G14" s="5" t="s">
        <v>467</v>
      </c>
      <c r="H14" s="6" t="s">
        <v>468</v>
      </c>
      <c r="I14" s="22" t="str">
        <f t="shared" si="1"/>
        <v>61.mp4</v>
      </c>
    </row>
    <row r="15" spans="1:9" ht="15.75" customHeight="1" x14ac:dyDescent="0.25">
      <c r="A15" s="26">
        <v>14</v>
      </c>
      <c r="B15" s="5" t="s">
        <v>74</v>
      </c>
      <c r="C15" s="26" t="s">
        <v>469</v>
      </c>
      <c r="D15" s="5" t="s">
        <v>470</v>
      </c>
      <c r="E15" s="6" t="s">
        <v>471</v>
      </c>
      <c r="F15" s="7" t="str">
        <f t="shared" si="0"/>
        <v>Slåss.mp4</v>
      </c>
      <c r="G15" s="5" t="s">
        <v>472</v>
      </c>
      <c r="H15" s="6" t="s">
        <v>473</v>
      </c>
      <c r="I15" s="22" t="str">
        <f t="shared" si="1"/>
        <v>62.mp4</v>
      </c>
    </row>
    <row r="16" spans="1:9" ht="15.75" customHeight="1" x14ac:dyDescent="0.25">
      <c r="A16" s="5">
        <v>15</v>
      </c>
      <c r="B16" s="26" t="s">
        <v>40</v>
      </c>
      <c r="C16" s="26" t="s">
        <v>474</v>
      </c>
      <c r="D16" s="5" t="s">
        <v>475</v>
      </c>
      <c r="E16" s="6" t="s">
        <v>476</v>
      </c>
      <c r="F16" s="7" t="str">
        <f t="shared" si="0"/>
        <v>Hansker.mp4</v>
      </c>
      <c r="G16" s="5" t="s">
        <v>477</v>
      </c>
      <c r="H16" s="6" t="s">
        <v>478</v>
      </c>
      <c r="I16" s="22" t="str">
        <f t="shared" si="1"/>
        <v>63.mp4</v>
      </c>
    </row>
    <row r="17" spans="1:9" ht="15.75" customHeight="1" x14ac:dyDescent="0.25">
      <c r="A17" s="26">
        <v>16</v>
      </c>
      <c r="B17" s="5" t="s">
        <v>74</v>
      </c>
      <c r="C17" s="26" t="s">
        <v>479</v>
      </c>
      <c r="D17" s="5" t="s">
        <v>480</v>
      </c>
      <c r="E17" s="6" t="s">
        <v>481</v>
      </c>
      <c r="F17" s="7" t="str">
        <f t="shared" si="0"/>
        <v>Bo.mp4</v>
      </c>
      <c r="G17" s="5" t="s">
        <v>482</v>
      </c>
      <c r="H17" s="6" t="s">
        <v>483</v>
      </c>
      <c r="I17" s="22" t="str">
        <f t="shared" si="1"/>
        <v>64.mp4</v>
      </c>
    </row>
    <row r="18" spans="1:9" ht="15.75" customHeight="1" x14ac:dyDescent="0.25">
      <c r="A18" s="5">
        <v>17</v>
      </c>
      <c r="B18" s="26" t="s">
        <v>40</v>
      </c>
      <c r="C18" s="26" t="s">
        <v>484</v>
      </c>
      <c r="D18" s="5" t="s">
        <v>485</v>
      </c>
      <c r="E18" s="6" t="s">
        <v>486</v>
      </c>
      <c r="F18" s="7" t="str">
        <f t="shared" si="0"/>
        <v>Marsjering.mp4</v>
      </c>
      <c r="G18" s="5" t="s">
        <v>487</v>
      </c>
      <c r="H18" s="6" t="s">
        <v>488</v>
      </c>
      <c r="I18" s="22" t="str">
        <f t="shared" si="1"/>
        <v>65.mp4</v>
      </c>
    </row>
    <row r="19" spans="1:9" ht="15.75" customHeight="1" x14ac:dyDescent="0.25">
      <c r="A19" s="26">
        <v>18</v>
      </c>
      <c r="B19" s="5" t="s">
        <v>74</v>
      </c>
      <c r="C19" s="26" t="s">
        <v>489</v>
      </c>
      <c r="D19" s="5" t="s">
        <v>490</v>
      </c>
      <c r="E19" s="6" t="s">
        <v>491</v>
      </c>
      <c r="F19" s="7" t="str">
        <f t="shared" si="0"/>
        <v>Bekymre.mp4</v>
      </c>
      <c r="G19" s="5" t="s">
        <v>492</v>
      </c>
      <c r="H19" s="6" t="s">
        <v>493</v>
      </c>
      <c r="I19" s="22" t="str">
        <f t="shared" si="1"/>
        <v>66.mp4</v>
      </c>
    </row>
    <row r="20" spans="1:9" ht="15.75" customHeight="1" x14ac:dyDescent="0.25">
      <c r="A20" s="5">
        <v>19</v>
      </c>
      <c r="B20" s="26" t="s">
        <v>40</v>
      </c>
      <c r="C20" s="26" t="s">
        <v>494</v>
      </c>
      <c r="D20" s="5" t="s">
        <v>495</v>
      </c>
      <c r="E20" s="6" t="s">
        <v>496</v>
      </c>
      <c r="F20" s="7" t="str">
        <f t="shared" si="0"/>
        <v>Gulv.mp4</v>
      </c>
      <c r="G20" s="5" t="s">
        <v>497</v>
      </c>
      <c r="H20" s="6" t="s">
        <v>498</v>
      </c>
      <c r="I20" s="22" t="str">
        <f t="shared" si="1"/>
        <v>67.mp4</v>
      </c>
    </row>
    <row r="21" spans="1:9" ht="15.75" customHeight="1" x14ac:dyDescent="0.25">
      <c r="A21" s="26">
        <v>20</v>
      </c>
      <c r="B21" s="5" t="s">
        <v>74</v>
      </c>
      <c r="C21" s="26" t="s">
        <v>499</v>
      </c>
      <c r="D21" s="5" t="s">
        <v>500</v>
      </c>
      <c r="E21" s="6" t="s">
        <v>501</v>
      </c>
      <c r="F21" s="7" t="str">
        <f t="shared" si="0"/>
        <v>Knyte.mp4</v>
      </c>
      <c r="G21" s="5" t="s">
        <v>502</v>
      </c>
      <c r="H21" s="6" t="s">
        <v>503</v>
      </c>
      <c r="I21" s="22" t="str">
        <f t="shared" si="1"/>
        <v>68.mp4</v>
      </c>
    </row>
    <row r="22" spans="1:9" ht="15.75" customHeight="1" x14ac:dyDescent="0.25">
      <c r="A22" s="5">
        <v>21</v>
      </c>
      <c r="B22" s="26" t="s">
        <v>40</v>
      </c>
      <c r="C22" s="26" t="s">
        <v>504</v>
      </c>
      <c r="D22" s="5" t="s">
        <v>504</v>
      </c>
      <c r="E22" s="6" t="s">
        <v>505</v>
      </c>
      <c r="F22" s="7" t="str">
        <f t="shared" si="0"/>
        <v>President.mp4</v>
      </c>
      <c r="G22" s="5" t="s">
        <v>506</v>
      </c>
      <c r="H22" s="6" t="s">
        <v>507</v>
      </c>
      <c r="I22" s="22" t="str">
        <f t="shared" si="1"/>
        <v>69.mp4</v>
      </c>
    </row>
    <row r="23" spans="1:9" ht="15.75" customHeight="1" x14ac:dyDescent="0.25">
      <c r="A23" s="26">
        <v>22</v>
      </c>
      <c r="B23" s="5" t="s">
        <v>74</v>
      </c>
      <c r="C23" s="26" t="s">
        <v>508</v>
      </c>
      <c r="D23" s="5" t="s">
        <v>509</v>
      </c>
      <c r="E23" s="6" t="s">
        <v>510</v>
      </c>
      <c r="F23" s="7" t="str">
        <f t="shared" si="0"/>
        <v>Undervise.mp4</v>
      </c>
      <c r="G23" s="5" t="s">
        <v>511</v>
      </c>
      <c r="H23" s="6" t="s">
        <v>512</v>
      </c>
      <c r="I23" s="22" t="str">
        <f t="shared" si="1"/>
        <v>70.mp4</v>
      </c>
    </row>
    <row r="24" spans="1:9" ht="15.75" customHeight="1" x14ac:dyDescent="0.25">
      <c r="A24" s="5">
        <v>23</v>
      </c>
      <c r="B24" s="26" t="s">
        <v>40</v>
      </c>
      <c r="C24" s="26" t="s">
        <v>513</v>
      </c>
      <c r="D24" s="5" t="s">
        <v>514</v>
      </c>
      <c r="E24" s="6" t="s">
        <v>515</v>
      </c>
      <c r="F24" s="7" t="str">
        <f t="shared" si="0"/>
        <v>Leir.mp4</v>
      </c>
      <c r="G24" s="5" t="s">
        <v>516</v>
      </c>
      <c r="H24" s="6" t="s">
        <v>517</v>
      </c>
      <c r="I24" s="22" t="str">
        <f t="shared" si="1"/>
        <v>71.mp4</v>
      </c>
    </row>
    <row r="25" spans="1:9" ht="15.75" customHeight="1" x14ac:dyDescent="0.25">
      <c r="A25" s="26">
        <v>24</v>
      </c>
      <c r="B25" s="5" t="s">
        <v>74</v>
      </c>
      <c r="C25" s="26" t="s">
        <v>518</v>
      </c>
      <c r="D25" s="5" t="s">
        <v>519</v>
      </c>
      <c r="E25" s="6" t="s">
        <v>520</v>
      </c>
      <c r="F25" s="7" t="str">
        <f t="shared" si="0"/>
        <v>Rive.mp4</v>
      </c>
      <c r="G25" s="5" t="s">
        <v>521</v>
      </c>
      <c r="H25" s="6" t="s">
        <v>522</v>
      </c>
      <c r="I25" s="22" t="str">
        <f t="shared" si="1"/>
        <v>72.mp4</v>
      </c>
    </row>
    <row r="26" spans="1:9" ht="15.75" customHeight="1" x14ac:dyDescent="0.25">
      <c r="A26" s="5">
        <v>25</v>
      </c>
      <c r="B26" s="26" t="s">
        <v>40</v>
      </c>
      <c r="C26" s="26" t="s">
        <v>523</v>
      </c>
      <c r="D26" s="5" t="s">
        <v>524</v>
      </c>
      <c r="E26" s="6" t="s">
        <v>525</v>
      </c>
      <c r="F26" s="7" t="str">
        <f t="shared" si="0"/>
        <v>Maskin.mp4</v>
      </c>
      <c r="G26" s="5" t="s">
        <v>526</v>
      </c>
      <c r="H26" s="6" t="s">
        <v>527</v>
      </c>
      <c r="I26" s="22" t="str">
        <f t="shared" si="1"/>
        <v>73.mp4</v>
      </c>
    </row>
    <row r="27" spans="1:9" ht="15.75" customHeight="1" x14ac:dyDescent="0.25">
      <c r="A27" s="26">
        <v>26</v>
      </c>
      <c r="B27" s="5" t="s">
        <v>74</v>
      </c>
      <c r="C27" s="26" t="s">
        <v>528</v>
      </c>
      <c r="D27" s="5" t="s">
        <v>529</v>
      </c>
      <c r="E27" s="6" t="s">
        <v>530</v>
      </c>
      <c r="F27" s="7" t="str">
        <f t="shared" si="0"/>
        <v>Lage.mp4</v>
      </c>
      <c r="G27" s="5" t="s">
        <v>531</v>
      </c>
      <c r="H27" s="6" t="s">
        <v>532</v>
      </c>
      <c r="I27" s="22" t="str">
        <f t="shared" si="1"/>
        <v>74.mp4</v>
      </c>
    </row>
    <row r="28" spans="1:9" ht="15.75" customHeight="1" x14ac:dyDescent="0.25">
      <c r="A28" s="5">
        <v>27</v>
      </c>
      <c r="B28" s="5" t="s">
        <v>74</v>
      </c>
      <c r="C28" s="26" t="s">
        <v>533</v>
      </c>
      <c r="D28" s="5" t="s">
        <v>534</v>
      </c>
      <c r="E28" s="6" t="s">
        <v>535</v>
      </c>
      <c r="F28" s="7" t="str">
        <f t="shared" si="0"/>
        <v>Spise.mp4</v>
      </c>
      <c r="G28" s="5" t="s">
        <v>536</v>
      </c>
      <c r="H28" s="6" t="s">
        <v>537</v>
      </c>
      <c r="I28" s="22" t="str">
        <f t="shared" si="1"/>
        <v>75.mp4</v>
      </c>
    </row>
    <row r="29" spans="1:9" ht="15.75" customHeight="1" x14ac:dyDescent="0.25">
      <c r="A29" s="26">
        <v>28</v>
      </c>
      <c r="B29" s="26" t="s">
        <v>40</v>
      </c>
      <c r="C29" s="26" t="s">
        <v>538</v>
      </c>
      <c r="D29" s="5" t="s">
        <v>539</v>
      </c>
      <c r="E29" s="6" t="s">
        <v>540</v>
      </c>
      <c r="F29" s="7" t="str">
        <f t="shared" si="0"/>
        <v>Foredrag.mp4</v>
      </c>
      <c r="G29" s="5" t="s">
        <v>541</v>
      </c>
      <c r="H29" s="6" t="s">
        <v>542</v>
      </c>
      <c r="I29" s="22" t="str">
        <f t="shared" si="1"/>
        <v>76.mp4</v>
      </c>
    </row>
    <row r="30" spans="1:9" ht="15.75" customHeight="1" x14ac:dyDescent="0.25">
      <c r="A30" s="5">
        <v>29</v>
      </c>
      <c r="B30" s="26" t="s">
        <v>40</v>
      </c>
      <c r="C30" s="26" t="s">
        <v>543</v>
      </c>
      <c r="D30" s="5" t="s">
        <v>544</v>
      </c>
      <c r="E30" s="6" t="s">
        <v>545</v>
      </c>
      <c r="F30" s="7" t="str">
        <f t="shared" si="0"/>
        <v>Venn.mp4</v>
      </c>
      <c r="G30" s="5" t="s">
        <v>546</v>
      </c>
      <c r="H30" s="6" t="s">
        <v>547</v>
      </c>
      <c r="I30" s="22" t="str">
        <f t="shared" si="1"/>
        <v>77.mp4</v>
      </c>
    </row>
    <row r="31" spans="1:9" ht="15.75" customHeight="1" x14ac:dyDescent="0.25">
      <c r="A31" s="26">
        <v>30</v>
      </c>
      <c r="B31" s="5" t="s">
        <v>74</v>
      </c>
      <c r="C31" s="26" t="s">
        <v>548</v>
      </c>
      <c r="D31" s="5" t="s">
        <v>549</v>
      </c>
      <c r="E31" s="6" t="s">
        <v>550</v>
      </c>
      <c r="F31" s="7" t="str">
        <f t="shared" si="0"/>
        <v>Gå.mp4</v>
      </c>
      <c r="G31" s="5" t="s">
        <v>551</v>
      </c>
      <c r="H31" s="6" t="s">
        <v>552</v>
      </c>
      <c r="I31" s="22" t="str">
        <f t="shared" si="1"/>
        <v>78.mp4</v>
      </c>
    </row>
    <row r="32" spans="1:9" ht="15.75" customHeight="1" x14ac:dyDescent="0.25">
      <c r="A32" s="5">
        <v>31</v>
      </c>
      <c r="B32" s="26" t="s">
        <v>40</v>
      </c>
      <c r="C32" s="26" t="s">
        <v>553</v>
      </c>
      <c r="D32" s="5" t="s">
        <v>554</v>
      </c>
      <c r="E32" s="6" t="s">
        <v>555</v>
      </c>
      <c r="F32" s="7" t="str">
        <f t="shared" si="0"/>
        <v>Helse.mp4</v>
      </c>
      <c r="G32" s="5" t="s">
        <v>556</v>
      </c>
      <c r="H32" s="6" t="s">
        <v>557</v>
      </c>
      <c r="I32" s="22" t="str">
        <f t="shared" si="1"/>
        <v>79.mp4</v>
      </c>
    </row>
    <row r="33" spans="1:9" ht="15.75" customHeight="1" x14ac:dyDescent="0.25">
      <c r="A33" s="26">
        <v>32</v>
      </c>
      <c r="B33" s="5" t="s">
        <v>74</v>
      </c>
      <c r="C33" s="26" t="s">
        <v>558</v>
      </c>
      <c r="D33" s="5" t="s">
        <v>559</v>
      </c>
      <c r="E33" s="6" t="s">
        <v>560</v>
      </c>
      <c r="F33" s="7" t="str">
        <f t="shared" si="0"/>
        <v>Le.mp4</v>
      </c>
      <c r="G33" s="5" t="s">
        <v>561</v>
      </c>
      <c r="H33" s="6" t="s">
        <v>562</v>
      </c>
      <c r="I33" s="22" t="str">
        <f t="shared" si="1"/>
        <v>80.mp4</v>
      </c>
    </row>
    <row r="34" spans="1:9" ht="15.75" customHeight="1" x14ac:dyDescent="0.25">
      <c r="A34" s="5">
        <v>33</v>
      </c>
      <c r="B34" s="26" t="s">
        <v>40</v>
      </c>
      <c r="C34" s="26" t="s">
        <v>563</v>
      </c>
      <c r="D34" s="5" t="s">
        <v>564</v>
      </c>
      <c r="E34" s="6" t="s">
        <v>565</v>
      </c>
      <c r="F34" s="7" t="str">
        <f t="shared" si="0"/>
        <v>Møte.mp4</v>
      </c>
      <c r="G34" s="5" t="s">
        <v>566</v>
      </c>
      <c r="H34" s="6" t="s">
        <v>567</v>
      </c>
      <c r="I34" s="22" t="str">
        <f t="shared" si="1"/>
        <v>81.mp4</v>
      </c>
    </row>
    <row r="35" spans="1:9" ht="15.75" customHeight="1" x14ac:dyDescent="0.25">
      <c r="A35" s="26">
        <v>34</v>
      </c>
      <c r="B35" s="5" t="s">
        <v>74</v>
      </c>
      <c r="C35" s="26" t="s">
        <v>568</v>
      </c>
      <c r="D35" s="5" t="s">
        <v>569</v>
      </c>
      <c r="E35" s="6" t="s">
        <v>570</v>
      </c>
      <c r="F35" s="7" t="str">
        <f t="shared" si="0"/>
        <v>Sove.mp4</v>
      </c>
      <c r="G35" s="5" t="s">
        <v>571</v>
      </c>
      <c r="H35" s="6" t="s">
        <v>572</v>
      </c>
      <c r="I35" s="22" t="str">
        <f t="shared" si="1"/>
        <v>82.mp4</v>
      </c>
    </row>
    <row r="36" spans="1:9" ht="15.75" customHeight="1" x14ac:dyDescent="0.25">
      <c r="A36" s="5">
        <v>35</v>
      </c>
      <c r="B36" s="26" t="s">
        <v>40</v>
      </c>
      <c r="C36" s="26" t="s">
        <v>573</v>
      </c>
      <c r="D36" s="5" t="s">
        <v>574</v>
      </c>
      <c r="E36" s="6" t="s">
        <v>575</v>
      </c>
      <c r="F36" s="7" t="str">
        <f t="shared" si="0"/>
        <v>Medisin.mp4</v>
      </c>
      <c r="G36" s="5" t="s">
        <v>576</v>
      </c>
      <c r="H36" s="6" t="s">
        <v>577</v>
      </c>
      <c r="I36" s="22" t="str">
        <f t="shared" si="1"/>
        <v>83.mp4</v>
      </c>
    </row>
    <row r="37" spans="1:9" ht="15" x14ac:dyDescent="0.25">
      <c r="A37" s="26">
        <v>36</v>
      </c>
      <c r="B37" s="5" t="s">
        <v>74</v>
      </c>
      <c r="C37" s="26" t="s">
        <v>578</v>
      </c>
      <c r="D37" s="5" t="s">
        <v>579</v>
      </c>
      <c r="E37" s="6" t="s">
        <v>580</v>
      </c>
      <c r="F37" s="7" t="str">
        <f t="shared" si="0"/>
        <v>Kaste.mp4</v>
      </c>
      <c r="G37" s="5" t="s">
        <v>581</v>
      </c>
      <c r="H37" s="6" t="s">
        <v>582</v>
      </c>
      <c r="I37" s="22" t="str">
        <f t="shared" si="1"/>
        <v>84.mp4</v>
      </c>
    </row>
    <row r="38" spans="1:9" ht="15" x14ac:dyDescent="0.25">
      <c r="A38" s="5">
        <v>37</v>
      </c>
      <c r="B38" s="26" t="s">
        <v>40</v>
      </c>
      <c r="C38" s="26" t="s">
        <v>583</v>
      </c>
      <c r="D38" s="5" t="s">
        <v>584</v>
      </c>
      <c r="E38" s="6" t="s">
        <v>585</v>
      </c>
      <c r="F38" s="7" t="str">
        <f t="shared" si="0"/>
        <v>Brann.mp4</v>
      </c>
      <c r="G38" s="5" t="s">
        <v>586</v>
      </c>
      <c r="H38" s="6" t="s">
        <v>587</v>
      </c>
      <c r="I38" s="22" t="str">
        <f t="shared" si="1"/>
        <v>85.mp4</v>
      </c>
    </row>
    <row r="39" spans="1:9" ht="15" x14ac:dyDescent="0.25">
      <c r="A39" s="26">
        <v>38</v>
      </c>
      <c r="B39" s="5" t="s">
        <v>74</v>
      </c>
      <c r="C39" s="26" t="s">
        <v>588</v>
      </c>
      <c r="D39" s="5" t="s">
        <v>589</v>
      </c>
      <c r="E39" s="6" t="s">
        <v>590</v>
      </c>
      <c r="F39" s="7" t="str">
        <f t="shared" si="0"/>
        <v>Fornærme.mp4</v>
      </c>
      <c r="G39" s="5" t="s">
        <v>591</v>
      </c>
      <c r="H39" s="6" t="s">
        <v>592</v>
      </c>
      <c r="I39" s="22" t="str">
        <f t="shared" si="1"/>
        <v>86.mp4</v>
      </c>
    </row>
    <row r="40" spans="1:9" ht="15" x14ac:dyDescent="0.25">
      <c r="A40" s="5">
        <v>39</v>
      </c>
      <c r="B40" s="26" t="s">
        <v>40</v>
      </c>
      <c r="C40" s="26" t="s">
        <v>593</v>
      </c>
      <c r="D40" s="5" t="s">
        <v>594</v>
      </c>
      <c r="E40" s="6" t="s">
        <v>595</v>
      </c>
      <c r="F40" s="7" t="str">
        <f t="shared" si="0"/>
        <v>Diplom.mp4</v>
      </c>
      <c r="G40" s="5" t="s">
        <v>596</v>
      </c>
      <c r="H40" s="6" t="s">
        <v>597</v>
      </c>
      <c r="I40" s="22" t="str">
        <f t="shared" si="1"/>
        <v>87.mp4</v>
      </c>
    </row>
    <row r="41" spans="1:9" ht="15" x14ac:dyDescent="0.25">
      <c r="A41" s="26">
        <v>40</v>
      </c>
      <c r="B41" s="5" t="s">
        <v>74</v>
      </c>
      <c r="C41" s="26" t="s">
        <v>598</v>
      </c>
      <c r="D41" s="5" t="s">
        <v>599</v>
      </c>
      <c r="E41" s="6" t="s">
        <v>600</v>
      </c>
      <c r="F41" s="7" t="str">
        <f t="shared" si="0"/>
        <v>Sitte.mp4</v>
      </c>
      <c r="G41" s="5" t="s">
        <v>601</v>
      </c>
      <c r="H41" s="6" t="s">
        <v>602</v>
      </c>
      <c r="I41" s="22" t="str">
        <f t="shared" si="1"/>
        <v>88.mp4</v>
      </c>
    </row>
    <row r="42" spans="1:9" ht="15" x14ac:dyDescent="0.25">
      <c r="A42" s="5">
        <v>41</v>
      </c>
      <c r="B42" s="5" t="s">
        <v>74</v>
      </c>
      <c r="C42" s="26" t="s">
        <v>603</v>
      </c>
      <c r="D42" s="5" t="s">
        <v>604</v>
      </c>
      <c r="E42" s="6" t="s">
        <v>605</v>
      </c>
      <c r="F42" s="7" t="str">
        <f t="shared" si="0"/>
        <v>Koke.mp4</v>
      </c>
      <c r="G42" s="5" t="s">
        <v>606</v>
      </c>
      <c r="H42" s="6" t="s">
        <v>607</v>
      </c>
      <c r="I42" s="22" t="str">
        <f t="shared" si="1"/>
        <v>89.mp4</v>
      </c>
    </row>
    <row r="43" spans="1:9" ht="15" x14ac:dyDescent="0.25">
      <c r="A43" s="26">
        <v>42</v>
      </c>
      <c r="B43" s="26" t="s">
        <v>40</v>
      </c>
      <c r="C43" s="26" t="s">
        <v>608</v>
      </c>
      <c r="D43" s="5" t="s">
        <v>609</v>
      </c>
      <c r="E43" s="6" t="s">
        <v>610</v>
      </c>
      <c r="F43" s="7" t="str">
        <f t="shared" si="0"/>
        <v>Mikrobølgeovn.mp4</v>
      </c>
      <c r="G43" s="5" t="s">
        <v>611</v>
      </c>
      <c r="H43" s="16" t="s">
        <v>612</v>
      </c>
      <c r="I43" s="22" t="str">
        <f t="shared" si="1"/>
        <v>90.mp4</v>
      </c>
    </row>
    <row r="44" spans="1:9" ht="15" x14ac:dyDescent="0.25">
      <c r="A44" s="5">
        <v>43</v>
      </c>
      <c r="B44" s="5" t="s">
        <v>74</v>
      </c>
      <c r="C44" s="26" t="s">
        <v>613</v>
      </c>
      <c r="D44" s="5" t="s">
        <v>614</v>
      </c>
      <c r="E44" s="6" t="s">
        <v>615</v>
      </c>
      <c r="F44" s="7" t="str">
        <f t="shared" si="0"/>
        <v>Bruke.mp4</v>
      </c>
      <c r="G44" s="5" t="s">
        <v>616</v>
      </c>
      <c r="H44" s="6" t="s">
        <v>617</v>
      </c>
      <c r="I44" s="22" t="str">
        <f t="shared" si="1"/>
        <v>91.mp4</v>
      </c>
    </row>
    <row r="45" spans="1:9" ht="15" x14ac:dyDescent="0.25">
      <c r="A45" s="26">
        <v>44</v>
      </c>
      <c r="B45" s="26" t="s">
        <v>40</v>
      </c>
      <c r="C45" s="26" t="s">
        <v>618</v>
      </c>
      <c r="D45" s="5" t="s">
        <v>619</v>
      </c>
      <c r="E45" s="6" t="s">
        <v>620</v>
      </c>
      <c r="F45" s="7" t="str">
        <f t="shared" si="0"/>
        <v>Kvinne.mp4</v>
      </c>
      <c r="G45" s="5" t="s">
        <v>621</v>
      </c>
      <c r="H45" s="6" t="s">
        <v>622</v>
      </c>
      <c r="I45" s="22" t="str">
        <f t="shared" si="1"/>
        <v>92.mp4</v>
      </c>
    </row>
    <row r="46" spans="1:9" ht="15" x14ac:dyDescent="0.25">
      <c r="A46" s="5">
        <v>45</v>
      </c>
      <c r="B46" s="26" t="s">
        <v>40</v>
      </c>
      <c r="C46" s="26" t="s">
        <v>623</v>
      </c>
      <c r="D46" s="5" t="s">
        <v>624</v>
      </c>
      <c r="E46" s="6" t="s">
        <v>625</v>
      </c>
      <c r="F46" s="7" t="str">
        <f t="shared" si="0"/>
        <v>Kano.mp4</v>
      </c>
      <c r="G46" s="5" t="s">
        <v>626</v>
      </c>
      <c r="H46" s="6" t="s">
        <v>627</v>
      </c>
      <c r="I46" s="22" t="str">
        <f t="shared" si="1"/>
        <v>93.mp4</v>
      </c>
    </row>
    <row r="47" spans="1:9" ht="15" x14ac:dyDescent="0.25">
      <c r="A47" s="26">
        <v>46</v>
      </c>
      <c r="B47" s="5" t="s">
        <v>74</v>
      </c>
      <c r="C47" s="26" t="s">
        <v>628</v>
      </c>
      <c r="D47" s="5" t="s">
        <v>629</v>
      </c>
      <c r="E47" s="6" t="s">
        <v>630</v>
      </c>
      <c r="F47" s="7" t="str">
        <f t="shared" si="0"/>
        <v>Kysse.mp4</v>
      </c>
      <c r="G47" s="5" t="s">
        <v>631</v>
      </c>
      <c r="H47" s="6" t="s">
        <v>632</v>
      </c>
      <c r="I47" s="22" t="str">
        <f t="shared" si="1"/>
        <v>94.mp4</v>
      </c>
    </row>
    <row r="48" spans="1:9" ht="15" x14ac:dyDescent="0.25">
      <c r="A48" s="5">
        <v>47</v>
      </c>
      <c r="B48" s="26" t="s">
        <v>40</v>
      </c>
      <c r="C48" s="26" t="s">
        <v>633</v>
      </c>
      <c r="D48" s="5" t="s">
        <v>634</v>
      </c>
      <c r="E48" s="6" t="s">
        <v>635</v>
      </c>
      <c r="F48" s="7" t="str">
        <f t="shared" si="0"/>
        <v>Dyr.mp4</v>
      </c>
      <c r="G48" s="5" t="s">
        <v>636</v>
      </c>
      <c r="H48" s="6" t="s">
        <v>637</v>
      </c>
      <c r="I48" s="22" t="str">
        <f t="shared" si="1"/>
        <v>95.mp4</v>
      </c>
    </row>
    <row r="49" spans="1:9" ht="15" x14ac:dyDescent="0.25">
      <c r="A49" s="26">
        <v>48</v>
      </c>
      <c r="B49" s="5" t="s">
        <v>74</v>
      </c>
      <c r="C49" s="26" t="s">
        <v>638</v>
      </c>
      <c r="D49" s="5" t="s">
        <v>639</v>
      </c>
      <c r="E49" s="6" t="s">
        <v>640</v>
      </c>
      <c r="F49" s="7" t="str">
        <f t="shared" si="0"/>
        <v>Håpe.mp4</v>
      </c>
      <c r="G49" s="5" t="s">
        <v>641</v>
      </c>
      <c r="H49" s="6" t="s">
        <v>642</v>
      </c>
      <c r="I49" s="22" t="str">
        <f t="shared" si="1"/>
        <v>96.mp4</v>
      </c>
    </row>
    <row r="50" spans="1:9" ht="12.75" x14ac:dyDescent="0.2">
      <c r="F50" s="22"/>
      <c r="I50" s="22"/>
    </row>
    <row r="51" spans="1:9" ht="12.75" x14ac:dyDescent="0.2">
      <c r="F51" s="22"/>
      <c r="I51" s="22"/>
    </row>
    <row r="52" spans="1:9" ht="12.75" x14ac:dyDescent="0.2">
      <c r="F52" s="22"/>
      <c r="I52" s="22"/>
    </row>
    <row r="53" spans="1:9" ht="12.75" x14ac:dyDescent="0.2">
      <c r="F53" s="22"/>
      <c r="I53" s="22"/>
    </row>
    <row r="54" spans="1:9" ht="12.75" x14ac:dyDescent="0.2">
      <c r="F54" s="22"/>
      <c r="I54" s="22"/>
    </row>
    <row r="55" spans="1:9" ht="12.75" x14ac:dyDescent="0.2">
      <c r="F55" s="22"/>
      <c r="I55" s="22"/>
    </row>
    <row r="56" spans="1:9" ht="12.75" x14ac:dyDescent="0.2">
      <c r="F56" s="22"/>
      <c r="I56" s="22"/>
    </row>
    <row r="57" spans="1:9" ht="12.75" x14ac:dyDescent="0.2">
      <c r="F57" s="22"/>
      <c r="I57" s="22"/>
    </row>
    <row r="58" spans="1:9" ht="12.75" x14ac:dyDescent="0.2">
      <c r="F58" s="22"/>
      <c r="I58" s="22"/>
    </row>
    <row r="59" spans="1:9" ht="12.75" x14ac:dyDescent="0.2">
      <c r="F59" s="22"/>
      <c r="I59" s="22"/>
    </row>
    <row r="60" spans="1:9" ht="12.75" x14ac:dyDescent="0.2">
      <c r="F60" s="22"/>
      <c r="I60" s="22"/>
    </row>
    <row r="61" spans="1:9" ht="12.75" x14ac:dyDescent="0.2">
      <c r="F61" s="22"/>
      <c r="I61" s="22"/>
    </row>
    <row r="62" spans="1:9" ht="12.75" x14ac:dyDescent="0.2">
      <c r="F62" s="22"/>
      <c r="I62" s="22"/>
    </row>
    <row r="63" spans="1:9" ht="12.75" x14ac:dyDescent="0.2">
      <c r="F63" s="22"/>
      <c r="I63" s="22"/>
    </row>
    <row r="64" spans="1:9" ht="12.75" x14ac:dyDescent="0.2">
      <c r="F64" s="22"/>
      <c r="I64" s="22"/>
    </row>
    <row r="65" spans="6:9" ht="12.75" x14ac:dyDescent="0.2">
      <c r="F65" s="22"/>
      <c r="I65" s="22"/>
    </row>
    <row r="66" spans="6:9" ht="12.75" x14ac:dyDescent="0.2">
      <c r="F66" s="22"/>
      <c r="I66" s="22"/>
    </row>
    <row r="67" spans="6:9" ht="12.75" x14ac:dyDescent="0.2">
      <c r="F67" s="22"/>
      <c r="I67" s="22"/>
    </row>
    <row r="68" spans="6:9" ht="12.75" x14ac:dyDescent="0.2">
      <c r="F68" s="22"/>
      <c r="I68" s="22"/>
    </row>
    <row r="69" spans="6:9" ht="12.75" x14ac:dyDescent="0.2">
      <c r="F69" s="22"/>
      <c r="I69" s="22"/>
    </row>
    <row r="70" spans="6:9" ht="12.75" x14ac:dyDescent="0.2">
      <c r="F70" s="22"/>
      <c r="I70" s="22"/>
    </row>
    <row r="71" spans="6:9" ht="12.75" x14ac:dyDescent="0.2">
      <c r="F71" s="22"/>
      <c r="I71" s="22"/>
    </row>
    <row r="72" spans="6:9" ht="12.75" x14ac:dyDescent="0.2">
      <c r="F72" s="22"/>
      <c r="I72" s="22"/>
    </row>
    <row r="73" spans="6:9" ht="12.75" x14ac:dyDescent="0.2">
      <c r="F73" s="22"/>
      <c r="I73" s="22"/>
    </row>
    <row r="74" spans="6:9" ht="12.75" x14ac:dyDescent="0.2">
      <c r="F74" s="22"/>
      <c r="I74" s="22"/>
    </row>
    <row r="75" spans="6:9" ht="12.75" x14ac:dyDescent="0.2">
      <c r="F75" s="22"/>
      <c r="I75" s="22"/>
    </row>
    <row r="76" spans="6:9" ht="12.75" x14ac:dyDescent="0.2">
      <c r="F76" s="22"/>
      <c r="I76" s="22"/>
    </row>
    <row r="77" spans="6:9" ht="12.75" x14ac:dyDescent="0.2">
      <c r="F77" s="22"/>
      <c r="I77" s="22"/>
    </row>
    <row r="78" spans="6:9" ht="12.75" x14ac:dyDescent="0.2">
      <c r="F78" s="22"/>
      <c r="I78" s="22"/>
    </row>
    <row r="79" spans="6:9" ht="12.75" x14ac:dyDescent="0.2">
      <c r="F79" s="22"/>
      <c r="I79" s="22"/>
    </row>
    <row r="80" spans="6:9" ht="12.75" x14ac:dyDescent="0.2">
      <c r="F80" s="22"/>
      <c r="I80" s="22"/>
    </row>
    <row r="81" spans="6:9" ht="12.75" x14ac:dyDescent="0.2">
      <c r="F81" s="22"/>
      <c r="I81" s="22"/>
    </row>
    <row r="82" spans="6:9" ht="12.75" x14ac:dyDescent="0.2">
      <c r="F82" s="22"/>
      <c r="I82" s="22"/>
    </row>
    <row r="83" spans="6:9" ht="12.75" x14ac:dyDescent="0.2">
      <c r="F83" s="22"/>
      <c r="I83" s="22"/>
    </row>
    <row r="84" spans="6:9" ht="12.75" x14ac:dyDescent="0.2">
      <c r="F84" s="22"/>
      <c r="I84" s="22"/>
    </row>
    <row r="85" spans="6:9" ht="12.75" x14ac:dyDescent="0.2">
      <c r="F85" s="22"/>
      <c r="I85" s="22"/>
    </row>
    <row r="86" spans="6:9" ht="12.75" x14ac:dyDescent="0.2">
      <c r="F86" s="22"/>
      <c r="I86" s="22"/>
    </row>
    <row r="87" spans="6:9" ht="12.75" x14ac:dyDescent="0.2">
      <c r="F87" s="22"/>
      <c r="I87" s="22"/>
    </row>
    <row r="88" spans="6:9" ht="12.75" x14ac:dyDescent="0.2">
      <c r="F88" s="22"/>
      <c r="I88" s="22"/>
    </row>
    <row r="89" spans="6:9" ht="12.75" x14ac:dyDescent="0.2">
      <c r="F89" s="22"/>
      <c r="I89" s="22"/>
    </row>
    <row r="90" spans="6:9" ht="12.75" x14ac:dyDescent="0.2">
      <c r="F90" s="22"/>
      <c r="I90" s="22"/>
    </row>
    <row r="91" spans="6:9" ht="12.75" x14ac:dyDescent="0.2">
      <c r="F91" s="22"/>
      <c r="I91" s="22"/>
    </row>
    <row r="92" spans="6:9" ht="12.75" x14ac:dyDescent="0.2">
      <c r="F92" s="22"/>
      <c r="I92" s="22"/>
    </row>
    <row r="93" spans="6:9" ht="12.75" x14ac:dyDescent="0.2">
      <c r="F93" s="22"/>
      <c r="I93" s="22"/>
    </row>
    <row r="94" spans="6:9" ht="12.75" x14ac:dyDescent="0.2">
      <c r="F94" s="22"/>
      <c r="I94" s="22"/>
    </row>
    <row r="95" spans="6:9" ht="12.75" x14ac:dyDescent="0.2">
      <c r="F95" s="22"/>
      <c r="I95" s="22"/>
    </row>
    <row r="96" spans="6:9" ht="12.75" x14ac:dyDescent="0.2">
      <c r="F96" s="22"/>
      <c r="I96" s="22"/>
    </row>
    <row r="97" spans="6:9" ht="12.75" x14ac:dyDescent="0.2">
      <c r="F97" s="22"/>
      <c r="I97" s="22"/>
    </row>
    <row r="98" spans="6:9" ht="12.75" x14ac:dyDescent="0.2">
      <c r="F98" s="22"/>
      <c r="I98" s="22"/>
    </row>
    <row r="99" spans="6:9" ht="12.75" x14ac:dyDescent="0.2">
      <c r="F99" s="22"/>
      <c r="I99" s="22"/>
    </row>
    <row r="100" spans="6:9" ht="12.75" x14ac:dyDescent="0.2">
      <c r="F100" s="22"/>
      <c r="I100" s="22"/>
    </row>
    <row r="101" spans="6:9" ht="12.75" x14ac:dyDescent="0.2">
      <c r="F101" s="22"/>
      <c r="I101" s="22"/>
    </row>
    <row r="102" spans="6:9" ht="12.75" x14ac:dyDescent="0.2">
      <c r="F102" s="22"/>
      <c r="I102" s="22"/>
    </row>
    <row r="103" spans="6:9" ht="12.75" x14ac:dyDescent="0.2">
      <c r="F103" s="22"/>
      <c r="I103" s="22"/>
    </row>
    <row r="104" spans="6:9" ht="12.75" x14ac:dyDescent="0.2">
      <c r="F104" s="22"/>
      <c r="I104" s="22"/>
    </row>
    <row r="105" spans="6:9" ht="12.75" x14ac:dyDescent="0.2">
      <c r="F105" s="22"/>
      <c r="I105" s="22"/>
    </row>
    <row r="106" spans="6:9" ht="12.75" x14ac:dyDescent="0.2">
      <c r="F106" s="22"/>
      <c r="I106" s="22"/>
    </row>
    <row r="107" spans="6:9" ht="12.75" x14ac:dyDescent="0.2">
      <c r="F107" s="22"/>
      <c r="I107" s="22"/>
    </row>
    <row r="108" spans="6:9" ht="12.75" x14ac:dyDescent="0.2">
      <c r="F108" s="22"/>
      <c r="I108" s="22"/>
    </row>
    <row r="109" spans="6:9" ht="12.75" x14ac:dyDescent="0.2">
      <c r="F109" s="22"/>
      <c r="I109" s="22"/>
    </row>
    <row r="110" spans="6:9" ht="12.75" x14ac:dyDescent="0.2">
      <c r="F110" s="22"/>
      <c r="I110" s="22"/>
    </row>
    <row r="111" spans="6:9" ht="12.75" x14ac:dyDescent="0.2">
      <c r="F111" s="22"/>
      <c r="I111" s="22"/>
    </row>
    <row r="112" spans="6:9" ht="12.75" x14ac:dyDescent="0.2">
      <c r="F112" s="22"/>
      <c r="I112" s="22"/>
    </row>
    <row r="113" spans="6:9" ht="12.75" x14ac:dyDescent="0.2">
      <c r="F113" s="22"/>
      <c r="I113" s="22"/>
    </row>
    <row r="114" spans="6:9" ht="12.75" x14ac:dyDescent="0.2">
      <c r="F114" s="22"/>
      <c r="I114" s="22"/>
    </row>
    <row r="115" spans="6:9" ht="12.75" x14ac:dyDescent="0.2">
      <c r="F115" s="22"/>
      <c r="I115" s="22"/>
    </row>
    <row r="116" spans="6:9" ht="12.75" x14ac:dyDescent="0.2">
      <c r="F116" s="22"/>
      <c r="I116" s="22"/>
    </row>
    <row r="117" spans="6:9" ht="12.75" x14ac:dyDescent="0.2">
      <c r="F117" s="22"/>
      <c r="I117" s="22"/>
    </row>
    <row r="118" spans="6:9" ht="12.75" x14ac:dyDescent="0.2">
      <c r="F118" s="22"/>
      <c r="I118" s="22"/>
    </row>
    <row r="119" spans="6:9" ht="12.75" x14ac:dyDescent="0.2">
      <c r="F119" s="22"/>
      <c r="I119" s="22"/>
    </row>
    <row r="120" spans="6:9" ht="12.75" x14ac:dyDescent="0.2">
      <c r="F120" s="22"/>
      <c r="I120" s="22"/>
    </row>
    <row r="121" spans="6:9" ht="12.75" x14ac:dyDescent="0.2">
      <c r="F121" s="22"/>
      <c r="I121" s="22"/>
    </row>
    <row r="122" spans="6:9" ht="12.75" x14ac:dyDescent="0.2">
      <c r="F122" s="22"/>
      <c r="I122" s="22"/>
    </row>
    <row r="123" spans="6:9" ht="12.75" x14ac:dyDescent="0.2">
      <c r="F123" s="22"/>
      <c r="I123" s="22"/>
    </row>
    <row r="124" spans="6:9" ht="12.75" x14ac:dyDescent="0.2">
      <c r="F124" s="22"/>
      <c r="I124" s="22"/>
    </row>
    <row r="125" spans="6:9" ht="12.75" x14ac:dyDescent="0.2">
      <c r="F125" s="22"/>
      <c r="I125" s="22"/>
    </row>
    <row r="126" spans="6:9" ht="12.75" x14ac:dyDescent="0.2">
      <c r="F126" s="22"/>
      <c r="I126" s="22"/>
    </row>
    <row r="127" spans="6:9" ht="12.75" x14ac:dyDescent="0.2">
      <c r="F127" s="22"/>
      <c r="I127" s="22"/>
    </row>
    <row r="128" spans="6:9" ht="12.75" x14ac:dyDescent="0.2">
      <c r="F128" s="22"/>
      <c r="I128" s="22"/>
    </row>
    <row r="129" spans="6:9" ht="12.75" x14ac:dyDescent="0.2">
      <c r="F129" s="22"/>
      <c r="I129" s="22"/>
    </row>
    <row r="130" spans="6:9" ht="12.75" x14ac:dyDescent="0.2">
      <c r="F130" s="22"/>
      <c r="I130" s="22"/>
    </row>
    <row r="131" spans="6:9" ht="12.75" x14ac:dyDescent="0.2">
      <c r="F131" s="22"/>
      <c r="I131" s="22"/>
    </row>
    <row r="132" spans="6:9" ht="12.75" x14ac:dyDescent="0.2">
      <c r="F132" s="22"/>
      <c r="I132" s="22"/>
    </row>
    <row r="133" spans="6:9" ht="12.75" x14ac:dyDescent="0.2">
      <c r="F133" s="22"/>
      <c r="I133" s="22"/>
    </row>
    <row r="134" spans="6:9" ht="12.75" x14ac:dyDescent="0.2">
      <c r="F134" s="22"/>
      <c r="I134" s="22"/>
    </row>
    <row r="135" spans="6:9" ht="12.75" x14ac:dyDescent="0.2">
      <c r="F135" s="22"/>
      <c r="I135" s="22"/>
    </row>
    <row r="136" spans="6:9" ht="12.75" x14ac:dyDescent="0.2">
      <c r="F136" s="22"/>
      <c r="I136" s="22"/>
    </row>
    <row r="137" spans="6:9" ht="12.75" x14ac:dyDescent="0.2">
      <c r="F137" s="22"/>
      <c r="I137" s="22"/>
    </row>
    <row r="138" spans="6:9" ht="12.75" x14ac:dyDescent="0.2">
      <c r="F138" s="22"/>
      <c r="I138" s="22"/>
    </row>
    <row r="139" spans="6:9" ht="12.75" x14ac:dyDescent="0.2">
      <c r="F139" s="22"/>
      <c r="I139" s="22"/>
    </row>
    <row r="140" spans="6:9" ht="12.75" x14ac:dyDescent="0.2">
      <c r="F140" s="22"/>
      <c r="I140" s="22"/>
    </row>
    <row r="141" spans="6:9" ht="12.75" x14ac:dyDescent="0.2">
      <c r="F141" s="22"/>
      <c r="I141" s="22"/>
    </row>
    <row r="142" spans="6:9" ht="12.75" x14ac:dyDescent="0.2">
      <c r="F142" s="22"/>
      <c r="I142" s="22"/>
    </row>
    <row r="143" spans="6:9" ht="12.75" x14ac:dyDescent="0.2">
      <c r="F143" s="22"/>
      <c r="I143" s="22"/>
    </row>
    <row r="144" spans="6:9" ht="12.75" x14ac:dyDescent="0.2">
      <c r="F144" s="22"/>
      <c r="I144" s="22"/>
    </row>
    <row r="145" spans="6:9" ht="12.75" x14ac:dyDescent="0.2">
      <c r="F145" s="22"/>
      <c r="I145" s="22"/>
    </row>
    <row r="146" spans="6:9" ht="12.75" x14ac:dyDescent="0.2">
      <c r="F146" s="22"/>
      <c r="I146" s="22"/>
    </row>
    <row r="147" spans="6:9" ht="12.75" x14ac:dyDescent="0.2">
      <c r="F147" s="22"/>
      <c r="I147" s="22"/>
    </row>
    <row r="148" spans="6:9" ht="12.75" x14ac:dyDescent="0.2">
      <c r="F148" s="22"/>
      <c r="I148" s="22"/>
    </row>
    <row r="149" spans="6:9" ht="12.75" x14ac:dyDescent="0.2">
      <c r="F149" s="22"/>
      <c r="I149" s="22"/>
    </row>
    <row r="150" spans="6:9" ht="12.75" x14ac:dyDescent="0.2">
      <c r="F150" s="22"/>
      <c r="I150" s="22"/>
    </row>
    <row r="151" spans="6:9" ht="12.75" x14ac:dyDescent="0.2">
      <c r="F151" s="22"/>
      <c r="I151" s="22"/>
    </row>
    <row r="152" spans="6:9" ht="12.75" x14ac:dyDescent="0.2">
      <c r="F152" s="22"/>
      <c r="I152" s="22"/>
    </row>
    <row r="153" spans="6:9" ht="12.75" x14ac:dyDescent="0.2">
      <c r="F153" s="22"/>
      <c r="I153" s="22"/>
    </row>
    <row r="154" spans="6:9" ht="12.75" x14ac:dyDescent="0.2">
      <c r="F154" s="22"/>
      <c r="I154" s="22"/>
    </row>
    <row r="155" spans="6:9" ht="12.75" x14ac:dyDescent="0.2">
      <c r="F155" s="22"/>
      <c r="I155" s="22"/>
    </row>
    <row r="156" spans="6:9" ht="12.75" x14ac:dyDescent="0.2">
      <c r="F156" s="22"/>
      <c r="I156" s="22"/>
    </row>
    <row r="157" spans="6:9" ht="12.75" x14ac:dyDescent="0.2">
      <c r="F157" s="22"/>
      <c r="I157" s="22"/>
    </row>
    <row r="158" spans="6:9" ht="12.75" x14ac:dyDescent="0.2">
      <c r="F158" s="22"/>
      <c r="I158" s="22"/>
    </row>
    <row r="159" spans="6:9" ht="12.75" x14ac:dyDescent="0.2">
      <c r="F159" s="22"/>
      <c r="I159" s="22"/>
    </row>
    <row r="160" spans="6:9" ht="12.75" x14ac:dyDescent="0.2">
      <c r="F160" s="22"/>
      <c r="I160" s="22"/>
    </row>
    <row r="161" spans="6:9" ht="12.75" x14ac:dyDescent="0.2">
      <c r="F161" s="22"/>
      <c r="I161" s="22"/>
    </row>
    <row r="162" spans="6:9" ht="12.75" x14ac:dyDescent="0.2">
      <c r="F162" s="22"/>
      <c r="I162" s="22"/>
    </row>
    <row r="163" spans="6:9" ht="12.75" x14ac:dyDescent="0.2">
      <c r="F163" s="22"/>
      <c r="I163" s="22"/>
    </row>
    <row r="164" spans="6:9" ht="12.75" x14ac:dyDescent="0.2">
      <c r="F164" s="22"/>
      <c r="I164" s="22"/>
    </row>
    <row r="165" spans="6:9" ht="12.75" x14ac:dyDescent="0.2">
      <c r="F165" s="22"/>
      <c r="I165" s="22"/>
    </row>
    <row r="166" spans="6:9" ht="12.75" x14ac:dyDescent="0.2">
      <c r="F166" s="22"/>
      <c r="I166" s="22"/>
    </row>
    <row r="167" spans="6:9" ht="12.75" x14ac:dyDescent="0.2">
      <c r="F167" s="22"/>
      <c r="I167" s="22"/>
    </row>
    <row r="168" spans="6:9" ht="12.75" x14ac:dyDescent="0.2">
      <c r="F168" s="22"/>
      <c r="I168" s="22"/>
    </row>
    <row r="169" spans="6:9" ht="12.75" x14ac:dyDescent="0.2">
      <c r="F169" s="22"/>
      <c r="I169" s="22"/>
    </row>
    <row r="170" spans="6:9" ht="12.75" x14ac:dyDescent="0.2">
      <c r="F170" s="22"/>
      <c r="I170" s="22"/>
    </row>
    <row r="171" spans="6:9" ht="12.75" x14ac:dyDescent="0.2">
      <c r="F171" s="22"/>
      <c r="I171" s="22"/>
    </row>
    <row r="172" spans="6:9" ht="12.75" x14ac:dyDescent="0.2">
      <c r="F172" s="22"/>
      <c r="I172" s="22"/>
    </row>
    <row r="173" spans="6:9" ht="12.75" x14ac:dyDescent="0.2">
      <c r="F173" s="22"/>
      <c r="I173" s="22"/>
    </row>
    <row r="174" spans="6:9" ht="12.75" x14ac:dyDescent="0.2">
      <c r="F174" s="22"/>
      <c r="I174" s="22"/>
    </row>
    <row r="175" spans="6:9" ht="12.75" x14ac:dyDescent="0.2">
      <c r="F175" s="22"/>
      <c r="I175" s="22"/>
    </row>
    <row r="176" spans="6:9" ht="12.75" x14ac:dyDescent="0.2">
      <c r="F176" s="22"/>
      <c r="I176" s="22"/>
    </row>
    <row r="177" spans="6:9" ht="12.75" x14ac:dyDescent="0.2">
      <c r="F177" s="22"/>
      <c r="I177" s="22"/>
    </row>
    <row r="178" spans="6:9" ht="12.75" x14ac:dyDescent="0.2">
      <c r="F178" s="22"/>
      <c r="I178" s="22"/>
    </row>
    <row r="179" spans="6:9" ht="12.75" x14ac:dyDescent="0.2">
      <c r="F179" s="22"/>
      <c r="I179" s="22"/>
    </row>
    <row r="180" spans="6:9" ht="12.75" x14ac:dyDescent="0.2">
      <c r="F180" s="22"/>
      <c r="I180" s="22"/>
    </row>
    <row r="181" spans="6:9" ht="12.75" x14ac:dyDescent="0.2">
      <c r="F181" s="22"/>
      <c r="I181" s="22"/>
    </row>
    <row r="182" spans="6:9" ht="12.75" x14ac:dyDescent="0.2">
      <c r="F182" s="22"/>
      <c r="I182" s="22"/>
    </row>
    <row r="183" spans="6:9" ht="12.75" x14ac:dyDescent="0.2">
      <c r="F183" s="22"/>
      <c r="I183" s="22"/>
    </row>
    <row r="184" spans="6:9" ht="12.75" x14ac:dyDescent="0.2">
      <c r="F184" s="22"/>
      <c r="I184" s="22"/>
    </row>
    <row r="185" spans="6:9" ht="12.75" x14ac:dyDescent="0.2">
      <c r="F185" s="22"/>
      <c r="I185" s="22"/>
    </row>
    <row r="186" spans="6:9" ht="12.75" x14ac:dyDescent="0.2">
      <c r="F186" s="22"/>
      <c r="I186" s="22"/>
    </row>
    <row r="187" spans="6:9" ht="12.75" x14ac:dyDescent="0.2">
      <c r="F187" s="22"/>
      <c r="I187" s="22"/>
    </row>
    <row r="188" spans="6:9" ht="12.75" x14ac:dyDescent="0.2">
      <c r="F188" s="22"/>
      <c r="I188" s="22"/>
    </row>
    <row r="189" spans="6:9" ht="12.75" x14ac:dyDescent="0.2">
      <c r="F189" s="22"/>
      <c r="I189" s="22"/>
    </row>
    <row r="190" spans="6:9" ht="12.75" x14ac:dyDescent="0.2">
      <c r="F190" s="22"/>
      <c r="I190" s="22"/>
    </row>
    <row r="191" spans="6:9" ht="12.75" x14ac:dyDescent="0.2">
      <c r="F191" s="22"/>
      <c r="I191" s="22"/>
    </row>
    <row r="192" spans="6:9" ht="12.75" x14ac:dyDescent="0.2">
      <c r="F192" s="22"/>
      <c r="I192" s="22"/>
    </row>
    <row r="193" spans="6:9" ht="12.75" x14ac:dyDescent="0.2">
      <c r="F193" s="22"/>
      <c r="I193" s="22"/>
    </row>
    <row r="194" spans="6:9" ht="12.75" x14ac:dyDescent="0.2">
      <c r="F194" s="22"/>
      <c r="I194" s="22"/>
    </row>
    <row r="195" spans="6:9" ht="12.75" x14ac:dyDescent="0.2">
      <c r="F195" s="22"/>
      <c r="I195" s="22"/>
    </row>
    <row r="196" spans="6:9" ht="12.75" x14ac:dyDescent="0.2">
      <c r="F196" s="22"/>
      <c r="I196" s="22"/>
    </row>
    <row r="197" spans="6:9" ht="12.75" x14ac:dyDescent="0.2">
      <c r="F197" s="22"/>
      <c r="I197" s="22"/>
    </row>
    <row r="198" spans="6:9" ht="12.75" x14ac:dyDescent="0.2">
      <c r="F198" s="22"/>
      <c r="I198" s="22"/>
    </row>
    <row r="199" spans="6:9" ht="12.75" x14ac:dyDescent="0.2">
      <c r="F199" s="22"/>
      <c r="I199" s="22"/>
    </row>
    <row r="200" spans="6:9" ht="12.75" x14ac:dyDescent="0.2">
      <c r="F200" s="22"/>
      <c r="I200" s="22"/>
    </row>
    <row r="201" spans="6:9" ht="12.75" x14ac:dyDescent="0.2">
      <c r="F201" s="22"/>
      <c r="I201" s="22"/>
    </row>
    <row r="202" spans="6:9" ht="12.75" x14ac:dyDescent="0.2">
      <c r="F202" s="22"/>
      <c r="I202" s="22"/>
    </row>
    <row r="203" spans="6:9" ht="12.75" x14ac:dyDescent="0.2">
      <c r="F203" s="22"/>
      <c r="I203" s="22"/>
    </row>
    <row r="204" spans="6:9" ht="12.75" x14ac:dyDescent="0.2">
      <c r="F204" s="22"/>
      <c r="I204" s="22"/>
    </row>
    <row r="205" spans="6:9" ht="12.75" x14ac:dyDescent="0.2">
      <c r="F205" s="22"/>
      <c r="I205" s="22"/>
    </row>
    <row r="206" spans="6:9" ht="12.75" x14ac:dyDescent="0.2">
      <c r="F206" s="22"/>
      <c r="I206" s="22"/>
    </row>
    <row r="207" spans="6:9" ht="12.75" x14ac:dyDescent="0.2">
      <c r="F207" s="22"/>
      <c r="I207" s="22"/>
    </row>
    <row r="208" spans="6:9" ht="12.75" x14ac:dyDescent="0.2">
      <c r="F208" s="22"/>
      <c r="I208" s="22"/>
    </row>
    <row r="209" spans="6:9" ht="12.75" x14ac:dyDescent="0.2">
      <c r="F209" s="22"/>
      <c r="I209" s="22"/>
    </row>
    <row r="210" spans="6:9" ht="12.75" x14ac:dyDescent="0.2">
      <c r="F210" s="22"/>
      <c r="I210" s="22"/>
    </row>
    <row r="211" spans="6:9" ht="12.75" x14ac:dyDescent="0.2">
      <c r="F211" s="22"/>
      <c r="I211" s="22"/>
    </row>
    <row r="212" spans="6:9" ht="12.75" x14ac:dyDescent="0.2">
      <c r="F212" s="22"/>
      <c r="I212" s="22"/>
    </row>
    <row r="213" spans="6:9" ht="12.75" x14ac:dyDescent="0.2">
      <c r="F213" s="22"/>
      <c r="I213" s="22"/>
    </row>
    <row r="214" spans="6:9" ht="12.75" x14ac:dyDescent="0.2">
      <c r="F214" s="22"/>
      <c r="I214" s="22"/>
    </row>
    <row r="215" spans="6:9" ht="12.75" x14ac:dyDescent="0.2">
      <c r="F215" s="22"/>
      <c r="I215" s="22"/>
    </row>
    <row r="216" spans="6:9" ht="12.75" x14ac:dyDescent="0.2">
      <c r="F216" s="22"/>
      <c r="I216" s="22"/>
    </row>
    <row r="217" spans="6:9" ht="12.75" x14ac:dyDescent="0.2">
      <c r="F217" s="22"/>
      <c r="I217" s="22"/>
    </row>
    <row r="218" spans="6:9" ht="12.75" x14ac:dyDescent="0.2">
      <c r="F218" s="22"/>
      <c r="I218" s="22"/>
    </row>
    <row r="219" spans="6:9" ht="12.75" x14ac:dyDescent="0.2">
      <c r="F219" s="22"/>
      <c r="I219" s="22"/>
    </row>
    <row r="220" spans="6:9" ht="12.75" x14ac:dyDescent="0.2">
      <c r="F220" s="22"/>
      <c r="I220" s="22"/>
    </row>
    <row r="221" spans="6:9" ht="12.75" x14ac:dyDescent="0.2">
      <c r="F221" s="22"/>
      <c r="I221" s="22"/>
    </row>
    <row r="222" spans="6:9" ht="12.75" x14ac:dyDescent="0.2">
      <c r="F222" s="22"/>
      <c r="I222" s="22"/>
    </row>
    <row r="223" spans="6:9" ht="12.75" x14ac:dyDescent="0.2">
      <c r="F223" s="22"/>
      <c r="I223" s="22"/>
    </row>
    <row r="224" spans="6:9" ht="12.75" x14ac:dyDescent="0.2">
      <c r="F224" s="22"/>
      <c r="I224" s="22"/>
    </row>
    <row r="225" spans="6:9" ht="12.75" x14ac:dyDescent="0.2">
      <c r="F225" s="22"/>
      <c r="I225" s="22"/>
    </row>
    <row r="226" spans="6:9" ht="12.75" x14ac:dyDescent="0.2">
      <c r="F226" s="22"/>
      <c r="I226" s="22"/>
    </row>
    <row r="227" spans="6:9" ht="12.75" x14ac:dyDescent="0.2">
      <c r="F227" s="22"/>
      <c r="I227" s="22"/>
    </row>
    <row r="228" spans="6:9" ht="12.75" x14ac:dyDescent="0.2">
      <c r="F228" s="22"/>
      <c r="I228" s="22"/>
    </row>
    <row r="229" spans="6:9" ht="12.75" x14ac:dyDescent="0.2">
      <c r="F229" s="22"/>
      <c r="I229" s="22"/>
    </row>
    <row r="230" spans="6:9" ht="12.75" x14ac:dyDescent="0.2">
      <c r="F230" s="22"/>
      <c r="I230" s="22"/>
    </row>
    <row r="231" spans="6:9" ht="12.75" x14ac:dyDescent="0.2">
      <c r="F231" s="22"/>
      <c r="I231" s="22"/>
    </row>
    <row r="232" spans="6:9" ht="12.75" x14ac:dyDescent="0.2">
      <c r="F232" s="22"/>
      <c r="I232" s="22"/>
    </row>
    <row r="233" spans="6:9" ht="12.75" x14ac:dyDescent="0.2">
      <c r="F233" s="22"/>
      <c r="I233" s="22"/>
    </row>
    <row r="234" spans="6:9" ht="12.75" x14ac:dyDescent="0.2">
      <c r="F234" s="22"/>
      <c r="I234" s="22"/>
    </row>
    <row r="235" spans="6:9" ht="12.75" x14ac:dyDescent="0.2">
      <c r="F235" s="22"/>
      <c r="I235" s="22"/>
    </row>
    <row r="236" spans="6:9" ht="12.75" x14ac:dyDescent="0.2">
      <c r="F236" s="22"/>
      <c r="I236" s="22"/>
    </row>
    <row r="237" spans="6:9" ht="12.75" x14ac:dyDescent="0.2">
      <c r="F237" s="22"/>
      <c r="I237" s="22"/>
    </row>
    <row r="238" spans="6:9" ht="12.75" x14ac:dyDescent="0.2">
      <c r="F238" s="22"/>
      <c r="I238" s="22"/>
    </row>
    <row r="239" spans="6:9" ht="12.75" x14ac:dyDescent="0.2">
      <c r="F239" s="22"/>
      <c r="I239" s="22"/>
    </row>
    <row r="240" spans="6:9" ht="12.75" x14ac:dyDescent="0.2">
      <c r="F240" s="22"/>
      <c r="I240" s="22"/>
    </row>
    <row r="241" spans="6:9" ht="12.75" x14ac:dyDescent="0.2">
      <c r="F241" s="22"/>
      <c r="I241" s="22"/>
    </row>
    <row r="242" spans="6:9" ht="12.75" x14ac:dyDescent="0.2">
      <c r="F242" s="22"/>
      <c r="I242" s="22"/>
    </row>
    <row r="243" spans="6:9" ht="12.75" x14ac:dyDescent="0.2">
      <c r="F243" s="22"/>
      <c r="I243" s="22"/>
    </row>
    <row r="244" spans="6:9" ht="12.75" x14ac:dyDescent="0.2">
      <c r="F244" s="22"/>
      <c r="I244" s="22"/>
    </row>
    <row r="245" spans="6:9" ht="12.75" x14ac:dyDescent="0.2">
      <c r="F245" s="22"/>
      <c r="I245" s="22"/>
    </row>
    <row r="246" spans="6:9" ht="12.75" x14ac:dyDescent="0.2">
      <c r="F246" s="22"/>
      <c r="I246" s="22"/>
    </row>
    <row r="247" spans="6:9" ht="12.75" x14ac:dyDescent="0.2">
      <c r="F247" s="22"/>
      <c r="I247" s="22"/>
    </row>
    <row r="248" spans="6:9" ht="12.75" x14ac:dyDescent="0.2">
      <c r="F248" s="22"/>
      <c r="I248" s="22"/>
    </row>
    <row r="249" spans="6:9" ht="12.75" x14ac:dyDescent="0.2">
      <c r="F249" s="22"/>
      <c r="I249" s="22"/>
    </row>
    <row r="250" spans="6:9" ht="12.75" x14ac:dyDescent="0.2">
      <c r="F250" s="22"/>
      <c r="I250" s="22"/>
    </row>
    <row r="251" spans="6:9" ht="12.75" x14ac:dyDescent="0.2">
      <c r="F251" s="22"/>
      <c r="I251" s="22"/>
    </row>
    <row r="252" spans="6:9" ht="12.75" x14ac:dyDescent="0.2">
      <c r="F252" s="22"/>
      <c r="I252" s="22"/>
    </row>
    <row r="253" spans="6:9" ht="12.75" x14ac:dyDescent="0.2">
      <c r="F253" s="22"/>
      <c r="I253" s="22"/>
    </row>
    <row r="254" spans="6:9" ht="12.75" x14ac:dyDescent="0.2">
      <c r="F254" s="22"/>
      <c r="I254" s="22"/>
    </row>
    <row r="255" spans="6:9" ht="12.75" x14ac:dyDescent="0.2">
      <c r="F255" s="22"/>
      <c r="I255" s="22"/>
    </row>
    <row r="256" spans="6:9" ht="12.75" x14ac:dyDescent="0.2">
      <c r="F256" s="22"/>
      <c r="I256" s="22"/>
    </row>
    <row r="257" spans="6:9" ht="12.75" x14ac:dyDescent="0.2">
      <c r="F257" s="22"/>
      <c r="I257" s="22"/>
    </row>
    <row r="258" spans="6:9" ht="12.75" x14ac:dyDescent="0.2">
      <c r="F258" s="22"/>
      <c r="I258" s="22"/>
    </row>
    <row r="259" spans="6:9" ht="12.75" x14ac:dyDescent="0.2">
      <c r="F259" s="22"/>
      <c r="I259" s="22"/>
    </row>
    <row r="260" spans="6:9" ht="12.75" x14ac:dyDescent="0.2">
      <c r="F260" s="22"/>
      <c r="I260" s="22"/>
    </row>
    <row r="261" spans="6:9" ht="12.75" x14ac:dyDescent="0.2">
      <c r="F261" s="22"/>
      <c r="I261" s="22"/>
    </row>
    <row r="262" spans="6:9" ht="12.75" x14ac:dyDescent="0.2">
      <c r="F262" s="22"/>
      <c r="I262" s="22"/>
    </row>
    <row r="263" spans="6:9" ht="12.75" x14ac:dyDescent="0.2">
      <c r="F263" s="22"/>
      <c r="I263" s="22"/>
    </row>
    <row r="264" spans="6:9" ht="12.75" x14ac:dyDescent="0.2">
      <c r="F264" s="22"/>
      <c r="I264" s="22"/>
    </row>
    <row r="265" spans="6:9" ht="12.75" x14ac:dyDescent="0.2">
      <c r="F265" s="22"/>
      <c r="I265" s="22"/>
    </row>
    <row r="266" spans="6:9" ht="12.75" x14ac:dyDescent="0.2">
      <c r="F266" s="22"/>
      <c r="I266" s="22"/>
    </row>
    <row r="267" spans="6:9" ht="12.75" x14ac:dyDescent="0.2">
      <c r="F267" s="22"/>
      <c r="I267" s="22"/>
    </row>
    <row r="268" spans="6:9" ht="12.75" x14ac:dyDescent="0.2">
      <c r="F268" s="22"/>
      <c r="I268" s="22"/>
    </row>
    <row r="269" spans="6:9" ht="12.75" x14ac:dyDescent="0.2">
      <c r="F269" s="22"/>
      <c r="I269" s="22"/>
    </row>
    <row r="270" spans="6:9" ht="12.75" x14ac:dyDescent="0.2">
      <c r="F270" s="22"/>
      <c r="I270" s="22"/>
    </row>
    <row r="271" spans="6:9" ht="12.75" x14ac:dyDescent="0.2">
      <c r="F271" s="22"/>
      <c r="I271" s="22"/>
    </row>
    <row r="272" spans="6:9" ht="12.75" x14ac:dyDescent="0.2">
      <c r="F272" s="22"/>
      <c r="I272" s="22"/>
    </row>
    <row r="273" spans="6:9" ht="12.75" x14ac:dyDescent="0.2">
      <c r="F273" s="22"/>
      <c r="I273" s="22"/>
    </row>
    <row r="274" spans="6:9" ht="12.75" x14ac:dyDescent="0.2">
      <c r="F274" s="22"/>
      <c r="I274" s="22"/>
    </row>
    <row r="275" spans="6:9" ht="12.75" x14ac:dyDescent="0.2">
      <c r="F275" s="22"/>
      <c r="I275" s="22"/>
    </row>
    <row r="276" spans="6:9" ht="12.75" x14ac:dyDescent="0.2">
      <c r="F276" s="22"/>
      <c r="I276" s="22"/>
    </row>
    <row r="277" spans="6:9" ht="12.75" x14ac:dyDescent="0.2">
      <c r="F277" s="22"/>
      <c r="I277" s="22"/>
    </row>
    <row r="278" spans="6:9" ht="12.75" x14ac:dyDescent="0.2">
      <c r="F278" s="22"/>
      <c r="I278" s="22"/>
    </row>
    <row r="279" spans="6:9" ht="12.75" x14ac:dyDescent="0.2">
      <c r="F279" s="22"/>
      <c r="I279" s="22"/>
    </row>
    <row r="280" spans="6:9" ht="12.75" x14ac:dyDescent="0.2">
      <c r="F280" s="22"/>
      <c r="I280" s="22"/>
    </row>
    <row r="281" spans="6:9" ht="12.75" x14ac:dyDescent="0.2">
      <c r="F281" s="22"/>
      <c r="I281" s="22"/>
    </row>
    <row r="282" spans="6:9" ht="12.75" x14ac:dyDescent="0.2">
      <c r="F282" s="22"/>
      <c r="I282" s="22"/>
    </row>
    <row r="283" spans="6:9" ht="12.75" x14ac:dyDescent="0.2">
      <c r="F283" s="22"/>
      <c r="I283" s="22"/>
    </row>
    <row r="284" spans="6:9" ht="12.75" x14ac:dyDescent="0.2">
      <c r="F284" s="22"/>
      <c r="I284" s="22"/>
    </row>
    <row r="285" spans="6:9" ht="12.75" x14ac:dyDescent="0.2">
      <c r="F285" s="22"/>
      <c r="I285" s="22"/>
    </row>
    <row r="286" spans="6:9" ht="12.75" x14ac:dyDescent="0.2">
      <c r="F286" s="22"/>
      <c r="I286" s="22"/>
    </row>
    <row r="287" spans="6:9" ht="12.75" x14ac:dyDescent="0.2">
      <c r="F287" s="22"/>
      <c r="I287" s="22"/>
    </row>
    <row r="288" spans="6:9" ht="12.75" x14ac:dyDescent="0.2">
      <c r="F288" s="22"/>
      <c r="I288" s="22"/>
    </row>
    <row r="289" spans="6:9" ht="12.75" x14ac:dyDescent="0.2">
      <c r="F289" s="22"/>
      <c r="I289" s="22"/>
    </row>
    <row r="290" spans="6:9" ht="12.75" x14ac:dyDescent="0.2">
      <c r="F290" s="22"/>
      <c r="I290" s="22"/>
    </row>
    <row r="291" spans="6:9" ht="12.75" x14ac:dyDescent="0.2">
      <c r="F291" s="22"/>
      <c r="I291" s="22"/>
    </row>
    <row r="292" spans="6:9" ht="12.75" x14ac:dyDescent="0.2">
      <c r="F292" s="22"/>
      <c r="I292" s="22"/>
    </row>
    <row r="293" spans="6:9" ht="12.75" x14ac:dyDescent="0.2">
      <c r="F293" s="22"/>
      <c r="I293" s="22"/>
    </row>
    <row r="294" spans="6:9" ht="12.75" x14ac:dyDescent="0.2">
      <c r="F294" s="22"/>
      <c r="I294" s="22"/>
    </row>
    <row r="295" spans="6:9" ht="12.75" x14ac:dyDescent="0.2">
      <c r="F295" s="22"/>
      <c r="I295" s="22"/>
    </row>
    <row r="296" spans="6:9" ht="12.75" x14ac:dyDescent="0.2">
      <c r="F296" s="22"/>
      <c r="I296" s="22"/>
    </row>
    <row r="297" spans="6:9" ht="12.75" x14ac:dyDescent="0.2">
      <c r="F297" s="22"/>
      <c r="I297" s="22"/>
    </row>
    <row r="298" spans="6:9" ht="12.75" x14ac:dyDescent="0.2">
      <c r="F298" s="22"/>
      <c r="I298" s="22"/>
    </row>
    <row r="299" spans="6:9" ht="12.75" x14ac:dyDescent="0.2">
      <c r="F299" s="22"/>
      <c r="I299" s="22"/>
    </row>
    <row r="300" spans="6:9" ht="12.75" x14ac:dyDescent="0.2">
      <c r="F300" s="22"/>
      <c r="I300" s="22"/>
    </row>
    <row r="301" spans="6:9" ht="12.75" x14ac:dyDescent="0.2">
      <c r="F301" s="22"/>
      <c r="I301" s="22"/>
    </row>
    <row r="302" spans="6:9" ht="12.75" x14ac:dyDescent="0.2">
      <c r="F302" s="22"/>
      <c r="I302" s="22"/>
    </row>
    <row r="303" spans="6:9" ht="12.75" x14ac:dyDescent="0.2">
      <c r="F303" s="22"/>
      <c r="I303" s="22"/>
    </row>
    <row r="304" spans="6:9" ht="12.75" x14ac:dyDescent="0.2">
      <c r="F304" s="22"/>
      <c r="I304" s="22"/>
    </row>
    <row r="305" spans="6:9" ht="12.75" x14ac:dyDescent="0.2">
      <c r="F305" s="22"/>
      <c r="I305" s="22"/>
    </row>
    <row r="306" spans="6:9" ht="12.75" x14ac:dyDescent="0.2">
      <c r="F306" s="22"/>
      <c r="I306" s="22"/>
    </row>
    <row r="307" spans="6:9" ht="12.75" x14ac:dyDescent="0.2">
      <c r="F307" s="22"/>
      <c r="I307" s="22"/>
    </row>
    <row r="308" spans="6:9" ht="12.75" x14ac:dyDescent="0.2">
      <c r="F308" s="22"/>
      <c r="I308" s="22"/>
    </row>
    <row r="309" spans="6:9" ht="12.75" x14ac:dyDescent="0.2">
      <c r="F309" s="22"/>
      <c r="I309" s="22"/>
    </row>
    <row r="310" spans="6:9" ht="12.75" x14ac:dyDescent="0.2">
      <c r="F310" s="22"/>
      <c r="I310" s="22"/>
    </row>
    <row r="311" spans="6:9" ht="12.75" x14ac:dyDescent="0.2">
      <c r="F311" s="22"/>
      <c r="I311" s="22"/>
    </row>
    <row r="312" spans="6:9" ht="12.75" x14ac:dyDescent="0.2">
      <c r="F312" s="22"/>
      <c r="I312" s="22"/>
    </row>
    <row r="313" spans="6:9" ht="12.75" x14ac:dyDescent="0.2">
      <c r="F313" s="22"/>
      <c r="I313" s="22"/>
    </row>
    <row r="314" spans="6:9" ht="12.75" x14ac:dyDescent="0.2">
      <c r="F314" s="22"/>
      <c r="I314" s="22"/>
    </row>
    <row r="315" spans="6:9" ht="12.75" x14ac:dyDescent="0.2">
      <c r="F315" s="22"/>
      <c r="I315" s="22"/>
    </row>
    <row r="316" spans="6:9" ht="12.75" x14ac:dyDescent="0.2">
      <c r="F316" s="22"/>
      <c r="I316" s="22"/>
    </row>
    <row r="317" spans="6:9" ht="12.75" x14ac:dyDescent="0.2">
      <c r="F317" s="22"/>
      <c r="I317" s="22"/>
    </row>
    <row r="318" spans="6:9" ht="12.75" x14ac:dyDescent="0.2">
      <c r="F318" s="22"/>
      <c r="I318" s="22"/>
    </row>
    <row r="319" spans="6:9" ht="12.75" x14ac:dyDescent="0.2">
      <c r="F319" s="22"/>
      <c r="I319" s="22"/>
    </row>
    <row r="320" spans="6:9" ht="12.75" x14ac:dyDescent="0.2">
      <c r="F320" s="22"/>
      <c r="I320" s="22"/>
    </row>
    <row r="321" spans="6:9" ht="12.75" x14ac:dyDescent="0.2">
      <c r="F321" s="22"/>
      <c r="I321" s="22"/>
    </row>
    <row r="322" spans="6:9" ht="12.75" x14ac:dyDescent="0.2">
      <c r="F322" s="22"/>
      <c r="I322" s="22"/>
    </row>
    <row r="323" spans="6:9" ht="12.75" x14ac:dyDescent="0.2">
      <c r="F323" s="22"/>
      <c r="I323" s="22"/>
    </row>
    <row r="324" spans="6:9" ht="12.75" x14ac:dyDescent="0.2">
      <c r="F324" s="22"/>
      <c r="I324" s="22"/>
    </row>
    <row r="325" spans="6:9" ht="12.75" x14ac:dyDescent="0.2">
      <c r="F325" s="22"/>
      <c r="I325" s="22"/>
    </row>
    <row r="326" spans="6:9" ht="12.75" x14ac:dyDescent="0.2">
      <c r="F326" s="22"/>
      <c r="I326" s="22"/>
    </row>
    <row r="327" spans="6:9" ht="12.75" x14ac:dyDescent="0.2">
      <c r="F327" s="22"/>
      <c r="I327" s="22"/>
    </row>
    <row r="328" spans="6:9" ht="12.75" x14ac:dyDescent="0.2">
      <c r="F328" s="22"/>
      <c r="I328" s="22"/>
    </row>
    <row r="329" spans="6:9" ht="12.75" x14ac:dyDescent="0.2">
      <c r="F329" s="22"/>
      <c r="I329" s="22"/>
    </row>
    <row r="330" spans="6:9" ht="12.75" x14ac:dyDescent="0.2">
      <c r="F330" s="22"/>
      <c r="I330" s="22"/>
    </row>
    <row r="331" spans="6:9" ht="12.75" x14ac:dyDescent="0.2">
      <c r="F331" s="22"/>
      <c r="I331" s="22"/>
    </row>
    <row r="332" spans="6:9" ht="12.75" x14ac:dyDescent="0.2">
      <c r="F332" s="22"/>
      <c r="I332" s="22"/>
    </row>
    <row r="333" spans="6:9" ht="12.75" x14ac:dyDescent="0.2">
      <c r="F333" s="22"/>
      <c r="I333" s="22"/>
    </row>
    <row r="334" spans="6:9" ht="12.75" x14ac:dyDescent="0.2">
      <c r="F334" s="22"/>
      <c r="I334" s="22"/>
    </row>
    <row r="335" spans="6:9" ht="12.75" x14ac:dyDescent="0.2">
      <c r="F335" s="22"/>
      <c r="I335" s="22"/>
    </row>
    <row r="336" spans="6:9" ht="12.75" x14ac:dyDescent="0.2">
      <c r="F336" s="22"/>
      <c r="I336" s="22"/>
    </row>
    <row r="337" spans="6:9" ht="12.75" x14ac:dyDescent="0.2">
      <c r="F337" s="22"/>
      <c r="I337" s="22"/>
    </row>
    <row r="338" spans="6:9" ht="12.75" x14ac:dyDescent="0.2">
      <c r="F338" s="22"/>
      <c r="I338" s="22"/>
    </row>
    <row r="339" spans="6:9" ht="12.75" x14ac:dyDescent="0.2">
      <c r="F339" s="22"/>
      <c r="I339" s="22"/>
    </row>
    <row r="340" spans="6:9" ht="12.75" x14ac:dyDescent="0.2">
      <c r="F340" s="22"/>
      <c r="I340" s="22"/>
    </row>
    <row r="341" spans="6:9" ht="12.75" x14ac:dyDescent="0.2">
      <c r="F341" s="22"/>
      <c r="I341" s="22"/>
    </row>
    <row r="342" spans="6:9" ht="12.75" x14ac:dyDescent="0.2">
      <c r="F342" s="22"/>
      <c r="I342" s="22"/>
    </row>
    <row r="343" spans="6:9" ht="12.75" x14ac:dyDescent="0.2">
      <c r="F343" s="22"/>
      <c r="I343" s="22"/>
    </row>
    <row r="344" spans="6:9" ht="12.75" x14ac:dyDescent="0.2">
      <c r="F344" s="22"/>
      <c r="I344" s="22"/>
    </row>
    <row r="345" spans="6:9" ht="12.75" x14ac:dyDescent="0.2">
      <c r="F345" s="22"/>
      <c r="I345" s="22"/>
    </row>
    <row r="346" spans="6:9" ht="12.75" x14ac:dyDescent="0.2">
      <c r="F346" s="22"/>
      <c r="I346" s="22"/>
    </row>
    <row r="347" spans="6:9" ht="12.75" x14ac:dyDescent="0.2">
      <c r="F347" s="22"/>
      <c r="I347" s="22"/>
    </row>
    <row r="348" spans="6:9" ht="12.75" x14ac:dyDescent="0.2">
      <c r="F348" s="22"/>
      <c r="I348" s="22"/>
    </row>
    <row r="349" spans="6:9" ht="12.75" x14ac:dyDescent="0.2">
      <c r="F349" s="22"/>
      <c r="I349" s="22"/>
    </row>
    <row r="350" spans="6:9" ht="12.75" x14ac:dyDescent="0.2">
      <c r="F350" s="22"/>
      <c r="I350" s="22"/>
    </row>
    <row r="351" spans="6:9" ht="12.75" x14ac:dyDescent="0.2">
      <c r="F351" s="22"/>
      <c r="I351" s="22"/>
    </row>
    <row r="352" spans="6:9" ht="12.75" x14ac:dyDescent="0.2">
      <c r="F352" s="22"/>
      <c r="I352" s="22"/>
    </row>
    <row r="353" spans="6:9" ht="12.75" x14ac:dyDescent="0.2">
      <c r="F353" s="22"/>
      <c r="I353" s="22"/>
    </row>
    <row r="354" spans="6:9" ht="12.75" x14ac:dyDescent="0.2">
      <c r="F354" s="22"/>
      <c r="I354" s="22"/>
    </row>
    <row r="355" spans="6:9" ht="12.75" x14ac:dyDescent="0.2">
      <c r="F355" s="22"/>
      <c r="I355" s="22"/>
    </row>
    <row r="356" spans="6:9" ht="12.75" x14ac:dyDescent="0.2">
      <c r="F356" s="22"/>
      <c r="I356" s="22"/>
    </row>
    <row r="357" spans="6:9" ht="12.75" x14ac:dyDescent="0.2">
      <c r="F357" s="22"/>
      <c r="I357" s="22"/>
    </row>
    <row r="358" spans="6:9" ht="12.75" x14ac:dyDescent="0.2">
      <c r="F358" s="22"/>
      <c r="I358" s="22"/>
    </row>
    <row r="359" spans="6:9" ht="12.75" x14ac:dyDescent="0.2">
      <c r="F359" s="22"/>
      <c r="I359" s="22"/>
    </row>
    <row r="360" spans="6:9" ht="12.75" x14ac:dyDescent="0.2">
      <c r="F360" s="22"/>
      <c r="I360" s="22"/>
    </row>
    <row r="361" spans="6:9" ht="12.75" x14ac:dyDescent="0.2">
      <c r="F361" s="22"/>
      <c r="I361" s="22"/>
    </row>
    <row r="362" spans="6:9" ht="12.75" x14ac:dyDescent="0.2">
      <c r="F362" s="22"/>
      <c r="I362" s="22"/>
    </row>
    <row r="363" spans="6:9" ht="12.75" x14ac:dyDescent="0.2">
      <c r="F363" s="22"/>
      <c r="I363" s="22"/>
    </row>
    <row r="364" spans="6:9" ht="12.75" x14ac:dyDescent="0.2">
      <c r="F364" s="22"/>
      <c r="I364" s="22"/>
    </row>
    <row r="365" spans="6:9" ht="12.75" x14ac:dyDescent="0.2">
      <c r="F365" s="22"/>
      <c r="I365" s="22"/>
    </row>
    <row r="366" spans="6:9" ht="12.75" x14ac:dyDescent="0.2">
      <c r="F366" s="22"/>
      <c r="I366" s="22"/>
    </row>
    <row r="367" spans="6:9" ht="12.75" x14ac:dyDescent="0.2">
      <c r="F367" s="22"/>
      <c r="I367" s="22"/>
    </row>
    <row r="368" spans="6:9" ht="12.75" x14ac:dyDescent="0.2">
      <c r="F368" s="22"/>
      <c r="I368" s="22"/>
    </row>
    <row r="369" spans="6:9" ht="12.75" x14ac:dyDescent="0.2">
      <c r="F369" s="22"/>
      <c r="I369" s="22"/>
    </row>
    <row r="370" spans="6:9" ht="12.75" x14ac:dyDescent="0.2">
      <c r="F370" s="22"/>
      <c r="I370" s="22"/>
    </row>
    <row r="371" spans="6:9" ht="12.75" x14ac:dyDescent="0.2">
      <c r="F371" s="22"/>
      <c r="I371" s="22"/>
    </row>
    <row r="372" spans="6:9" ht="12.75" x14ac:dyDescent="0.2">
      <c r="F372" s="22"/>
      <c r="I372" s="22"/>
    </row>
    <row r="373" spans="6:9" ht="12.75" x14ac:dyDescent="0.2">
      <c r="F373" s="22"/>
      <c r="I373" s="22"/>
    </row>
    <row r="374" spans="6:9" ht="12.75" x14ac:dyDescent="0.2">
      <c r="F374" s="22"/>
      <c r="I374" s="22"/>
    </row>
    <row r="375" spans="6:9" ht="12.75" x14ac:dyDescent="0.2">
      <c r="F375" s="22"/>
      <c r="I375" s="22"/>
    </row>
    <row r="376" spans="6:9" ht="12.75" x14ac:dyDescent="0.2">
      <c r="F376" s="22"/>
      <c r="I376" s="22"/>
    </row>
    <row r="377" spans="6:9" ht="12.75" x14ac:dyDescent="0.2">
      <c r="F377" s="22"/>
      <c r="I377" s="22"/>
    </row>
    <row r="378" spans="6:9" ht="12.75" x14ac:dyDescent="0.2">
      <c r="F378" s="22"/>
      <c r="I378" s="22"/>
    </row>
    <row r="379" spans="6:9" ht="12.75" x14ac:dyDescent="0.2">
      <c r="F379" s="22"/>
      <c r="I379" s="22"/>
    </row>
    <row r="380" spans="6:9" ht="12.75" x14ac:dyDescent="0.2">
      <c r="F380" s="22"/>
      <c r="I380" s="22"/>
    </row>
    <row r="381" spans="6:9" ht="12.75" x14ac:dyDescent="0.2">
      <c r="F381" s="22"/>
      <c r="I381" s="22"/>
    </row>
    <row r="382" spans="6:9" ht="12.75" x14ac:dyDescent="0.2">
      <c r="F382" s="22"/>
      <c r="I382" s="22"/>
    </row>
    <row r="383" spans="6:9" ht="12.75" x14ac:dyDescent="0.2">
      <c r="F383" s="22"/>
      <c r="I383" s="22"/>
    </row>
    <row r="384" spans="6:9" ht="12.75" x14ac:dyDescent="0.2">
      <c r="F384" s="22"/>
      <c r="I384" s="22"/>
    </row>
    <row r="385" spans="6:9" ht="12.75" x14ac:dyDescent="0.2">
      <c r="F385" s="22"/>
      <c r="I385" s="22"/>
    </row>
    <row r="386" spans="6:9" ht="12.75" x14ac:dyDescent="0.2">
      <c r="F386" s="22"/>
      <c r="I386" s="22"/>
    </row>
    <row r="387" spans="6:9" ht="12.75" x14ac:dyDescent="0.2">
      <c r="F387" s="22"/>
      <c r="I387" s="22"/>
    </row>
    <row r="388" spans="6:9" ht="12.75" x14ac:dyDescent="0.2">
      <c r="F388" s="22"/>
      <c r="I388" s="22"/>
    </row>
    <row r="389" spans="6:9" ht="12.75" x14ac:dyDescent="0.2">
      <c r="F389" s="22"/>
      <c r="I389" s="22"/>
    </row>
    <row r="390" spans="6:9" ht="12.75" x14ac:dyDescent="0.2">
      <c r="F390" s="22"/>
      <c r="I390" s="22"/>
    </row>
    <row r="391" spans="6:9" ht="12.75" x14ac:dyDescent="0.2">
      <c r="F391" s="22"/>
      <c r="I391" s="22"/>
    </row>
    <row r="392" spans="6:9" ht="12.75" x14ac:dyDescent="0.2">
      <c r="F392" s="22"/>
      <c r="I392" s="22"/>
    </row>
    <row r="393" spans="6:9" ht="12.75" x14ac:dyDescent="0.2">
      <c r="F393" s="22"/>
      <c r="I393" s="22"/>
    </row>
    <row r="394" spans="6:9" ht="12.75" x14ac:dyDescent="0.2">
      <c r="F394" s="22"/>
      <c r="I394" s="22"/>
    </row>
    <row r="395" spans="6:9" ht="12.75" x14ac:dyDescent="0.2">
      <c r="F395" s="22"/>
      <c r="I395" s="22"/>
    </row>
    <row r="396" spans="6:9" ht="12.75" x14ac:dyDescent="0.2">
      <c r="F396" s="22"/>
      <c r="I396" s="22"/>
    </row>
    <row r="397" spans="6:9" ht="12.75" x14ac:dyDescent="0.2">
      <c r="F397" s="22"/>
      <c r="I397" s="22"/>
    </row>
    <row r="398" spans="6:9" ht="12.75" x14ac:dyDescent="0.2">
      <c r="F398" s="22"/>
      <c r="I398" s="22"/>
    </row>
    <row r="399" spans="6:9" ht="12.75" x14ac:dyDescent="0.2">
      <c r="F399" s="22"/>
      <c r="I399" s="22"/>
    </row>
    <row r="400" spans="6:9" ht="12.75" x14ac:dyDescent="0.2">
      <c r="F400" s="22"/>
      <c r="I400" s="22"/>
    </row>
    <row r="401" spans="6:9" ht="12.75" x14ac:dyDescent="0.2">
      <c r="F401" s="22"/>
      <c r="I401" s="22"/>
    </row>
    <row r="402" spans="6:9" ht="12.75" x14ac:dyDescent="0.2">
      <c r="F402" s="22"/>
      <c r="I402" s="22"/>
    </row>
    <row r="403" spans="6:9" ht="12.75" x14ac:dyDescent="0.2">
      <c r="F403" s="22"/>
      <c r="I403" s="22"/>
    </row>
    <row r="404" spans="6:9" ht="12.75" x14ac:dyDescent="0.2">
      <c r="F404" s="22"/>
      <c r="I404" s="22"/>
    </row>
    <row r="405" spans="6:9" ht="12.75" x14ac:dyDescent="0.2">
      <c r="F405" s="22"/>
      <c r="I405" s="22"/>
    </row>
    <row r="406" spans="6:9" ht="12.75" x14ac:dyDescent="0.2">
      <c r="F406" s="22"/>
      <c r="I406" s="22"/>
    </row>
    <row r="407" spans="6:9" ht="12.75" x14ac:dyDescent="0.2">
      <c r="F407" s="22"/>
      <c r="I407" s="22"/>
    </row>
    <row r="408" spans="6:9" ht="12.75" x14ac:dyDescent="0.2">
      <c r="F408" s="22"/>
      <c r="I408" s="22"/>
    </row>
    <row r="409" spans="6:9" ht="12.75" x14ac:dyDescent="0.2">
      <c r="F409" s="22"/>
      <c r="I409" s="22"/>
    </row>
    <row r="410" spans="6:9" ht="12.75" x14ac:dyDescent="0.2">
      <c r="F410" s="22"/>
      <c r="I410" s="22"/>
    </row>
    <row r="411" spans="6:9" ht="12.75" x14ac:dyDescent="0.2">
      <c r="F411" s="22"/>
      <c r="I411" s="22"/>
    </row>
    <row r="412" spans="6:9" ht="12.75" x14ac:dyDescent="0.2">
      <c r="F412" s="22"/>
      <c r="I412" s="22"/>
    </row>
    <row r="413" spans="6:9" ht="12.75" x14ac:dyDescent="0.2">
      <c r="F413" s="22"/>
      <c r="I413" s="22"/>
    </row>
    <row r="414" spans="6:9" ht="12.75" x14ac:dyDescent="0.2">
      <c r="F414" s="22"/>
      <c r="I414" s="22"/>
    </row>
    <row r="415" spans="6:9" ht="12.75" x14ac:dyDescent="0.2">
      <c r="F415" s="22"/>
      <c r="I415" s="22"/>
    </row>
    <row r="416" spans="6:9" ht="12.75" x14ac:dyDescent="0.2">
      <c r="F416" s="22"/>
      <c r="I416" s="22"/>
    </row>
    <row r="417" spans="6:9" ht="12.75" x14ac:dyDescent="0.2">
      <c r="F417" s="22"/>
      <c r="I417" s="22"/>
    </row>
    <row r="418" spans="6:9" ht="12.75" x14ac:dyDescent="0.2">
      <c r="F418" s="22"/>
      <c r="I418" s="22"/>
    </row>
    <row r="419" spans="6:9" ht="12.75" x14ac:dyDescent="0.2">
      <c r="F419" s="22"/>
      <c r="I419" s="22"/>
    </row>
    <row r="420" spans="6:9" ht="12.75" x14ac:dyDescent="0.2">
      <c r="F420" s="22"/>
      <c r="I420" s="22"/>
    </row>
    <row r="421" spans="6:9" ht="12.75" x14ac:dyDescent="0.2">
      <c r="F421" s="22"/>
      <c r="I421" s="22"/>
    </row>
    <row r="422" spans="6:9" ht="12.75" x14ac:dyDescent="0.2">
      <c r="F422" s="22"/>
      <c r="I422" s="22"/>
    </row>
    <row r="423" spans="6:9" ht="12.75" x14ac:dyDescent="0.2">
      <c r="F423" s="22"/>
      <c r="I423" s="22"/>
    </row>
    <row r="424" spans="6:9" ht="12.75" x14ac:dyDescent="0.2">
      <c r="F424" s="22"/>
      <c r="I424" s="22"/>
    </row>
    <row r="425" spans="6:9" ht="12.75" x14ac:dyDescent="0.2">
      <c r="F425" s="22"/>
      <c r="I425" s="22"/>
    </row>
    <row r="426" spans="6:9" ht="12.75" x14ac:dyDescent="0.2">
      <c r="F426" s="22"/>
      <c r="I426" s="22"/>
    </row>
    <row r="427" spans="6:9" ht="12.75" x14ac:dyDescent="0.2">
      <c r="F427" s="22"/>
      <c r="I427" s="22"/>
    </row>
    <row r="428" spans="6:9" ht="12.75" x14ac:dyDescent="0.2">
      <c r="F428" s="22"/>
      <c r="I428" s="22"/>
    </row>
    <row r="429" spans="6:9" ht="12.75" x14ac:dyDescent="0.2">
      <c r="F429" s="22"/>
      <c r="I429" s="22"/>
    </row>
    <row r="430" spans="6:9" ht="12.75" x14ac:dyDescent="0.2">
      <c r="F430" s="22"/>
      <c r="I430" s="22"/>
    </row>
    <row r="431" spans="6:9" ht="12.75" x14ac:dyDescent="0.2">
      <c r="F431" s="22"/>
      <c r="I431" s="22"/>
    </row>
    <row r="432" spans="6:9" ht="12.75" x14ac:dyDescent="0.2">
      <c r="F432" s="22"/>
      <c r="I432" s="22"/>
    </row>
    <row r="433" spans="6:9" ht="12.75" x14ac:dyDescent="0.2">
      <c r="F433" s="22"/>
      <c r="I433" s="22"/>
    </row>
    <row r="434" spans="6:9" ht="12.75" x14ac:dyDescent="0.2">
      <c r="F434" s="22"/>
      <c r="I434" s="22"/>
    </row>
    <row r="435" spans="6:9" ht="12.75" x14ac:dyDescent="0.2">
      <c r="F435" s="22"/>
      <c r="I435" s="22"/>
    </row>
    <row r="436" spans="6:9" ht="12.75" x14ac:dyDescent="0.2">
      <c r="F436" s="22"/>
      <c r="I436" s="22"/>
    </row>
    <row r="437" spans="6:9" ht="12.75" x14ac:dyDescent="0.2">
      <c r="F437" s="22"/>
      <c r="I437" s="22"/>
    </row>
    <row r="438" spans="6:9" ht="12.75" x14ac:dyDescent="0.2">
      <c r="F438" s="22"/>
      <c r="I438" s="22"/>
    </row>
    <row r="439" spans="6:9" ht="12.75" x14ac:dyDescent="0.2">
      <c r="F439" s="22"/>
      <c r="I439" s="22"/>
    </row>
    <row r="440" spans="6:9" ht="12.75" x14ac:dyDescent="0.2">
      <c r="F440" s="22"/>
      <c r="I440" s="22"/>
    </row>
    <row r="441" spans="6:9" ht="12.75" x14ac:dyDescent="0.2">
      <c r="F441" s="22"/>
      <c r="I441" s="22"/>
    </row>
    <row r="442" spans="6:9" ht="12.75" x14ac:dyDescent="0.2">
      <c r="F442" s="22"/>
      <c r="I442" s="22"/>
    </row>
    <row r="443" spans="6:9" ht="12.75" x14ac:dyDescent="0.2">
      <c r="F443" s="22"/>
      <c r="I443" s="22"/>
    </row>
    <row r="444" spans="6:9" ht="12.75" x14ac:dyDescent="0.2">
      <c r="F444" s="22"/>
      <c r="I444" s="22"/>
    </row>
    <row r="445" spans="6:9" ht="12.75" x14ac:dyDescent="0.2">
      <c r="F445" s="22"/>
      <c r="I445" s="22"/>
    </row>
    <row r="446" spans="6:9" ht="12.75" x14ac:dyDescent="0.2">
      <c r="F446" s="22"/>
      <c r="I446" s="22"/>
    </row>
    <row r="447" spans="6:9" ht="12.75" x14ac:dyDescent="0.2">
      <c r="F447" s="22"/>
      <c r="I447" s="22"/>
    </row>
    <row r="448" spans="6:9" ht="12.75" x14ac:dyDescent="0.2">
      <c r="F448" s="22"/>
      <c r="I448" s="22"/>
    </row>
    <row r="449" spans="6:9" ht="12.75" x14ac:dyDescent="0.2">
      <c r="F449" s="22"/>
      <c r="I449" s="22"/>
    </row>
    <row r="450" spans="6:9" ht="12.75" x14ac:dyDescent="0.2">
      <c r="F450" s="22"/>
      <c r="I450" s="22"/>
    </row>
    <row r="451" spans="6:9" ht="12.75" x14ac:dyDescent="0.2">
      <c r="F451" s="22"/>
      <c r="I451" s="22"/>
    </row>
    <row r="452" spans="6:9" ht="12.75" x14ac:dyDescent="0.2">
      <c r="F452" s="22"/>
      <c r="I452" s="22"/>
    </row>
    <row r="453" spans="6:9" ht="12.75" x14ac:dyDescent="0.2">
      <c r="F453" s="22"/>
      <c r="I453" s="22"/>
    </row>
    <row r="454" spans="6:9" ht="12.75" x14ac:dyDescent="0.2">
      <c r="F454" s="22"/>
      <c r="I454" s="22"/>
    </row>
    <row r="455" spans="6:9" ht="12.75" x14ac:dyDescent="0.2">
      <c r="F455" s="22"/>
      <c r="I455" s="22"/>
    </row>
    <row r="456" spans="6:9" ht="12.75" x14ac:dyDescent="0.2">
      <c r="F456" s="22"/>
      <c r="I456" s="22"/>
    </row>
    <row r="457" spans="6:9" ht="12.75" x14ac:dyDescent="0.2">
      <c r="F457" s="22"/>
      <c r="I457" s="22"/>
    </row>
    <row r="458" spans="6:9" ht="12.75" x14ac:dyDescent="0.2">
      <c r="F458" s="22"/>
      <c r="I458" s="22"/>
    </row>
    <row r="459" spans="6:9" ht="12.75" x14ac:dyDescent="0.2">
      <c r="F459" s="22"/>
      <c r="I459" s="22"/>
    </row>
    <row r="460" spans="6:9" ht="12.75" x14ac:dyDescent="0.2">
      <c r="F460" s="22"/>
      <c r="I460" s="22"/>
    </row>
    <row r="461" spans="6:9" ht="12.75" x14ac:dyDescent="0.2">
      <c r="F461" s="22"/>
      <c r="I461" s="22"/>
    </row>
    <row r="462" spans="6:9" ht="12.75" x14ac:dyDescent="0.2">
      <c r="F462" s="22"/>
      <c r="I462" s="22"/>
    </row>
    <row r="463" spans="6:9" ht="12.75" x14ac:dyDescent="0.2">
      <c r="F463" s="22"/>
      <c r="I463" s="22"/>
    </row>
    <row r="464" spans="6:9" ht="12.75" x14ac:dyDescent="0.2">
      <c r="F464" s="22"/>
      <c r="I464" s="22"/>
    </row>
    <row r="465" spans="6:9" ht="12.75" x14ac:dyDescent="0.2">
      <c r="F465" s="22"/>
      <c r="I465" s="22"/>
    </row>
    <row r="466" spans="6:9" ht="12.75" x14ac:dyDescent="0.2">
      <c r="F466" s="22"/>
      <c r="I466" s="22"/>
    </row>
    <row r="467" spans="6:9" ht="12.75" x14ac:dyDescent="0.2">
      <c r="F467" s="22"/>
      <c r="I467" s="22"/>
    </row>
    <row r="468" spans="6:9" ht="12.75" x14ac:dyDescent="0.2">
      <c r="F468" s="22"/>
      <c r="I468" s="22"/>
    </row>
    <row r="469" spans="6:9" ht="12.75" x14ac:dyDescent="0.2">
      <c r="F469" s="22"/>
      <c r="I469" s="22"/>
    </row>
    <row r="470" spans="6:9" ht="12.75" x14ac:dyDescent="0.2">
      <c r="F470" s="22"/>
      <c r="I470" s="22"/>
    </row>
    <row r="471" spans="6:9" ht="12.75" x14ac:dyDescent="0.2">
      <c r="F471" s="22"/>
      <c r="I471" s="22"/>
    </row>
    <row r="472" spans="6:9" ht="12.75" x14ac:dyDescent="0.2">
      <c r="F472" s="22"/>
      <c r="I472" s="22"/>
    </row>
    <row r="473" spans="6:9" ht="12.75" x14ac:dyDescent="0.2">
      <c r="F473" s="22"/>
      <c r="I473" s="22"/>
    </row>
    <row r="474" spans="6:9" ht="12.75" x14ac:dyDescent="0.2">
      <c r="F474" s="22"/>
      <c r="I474" s="22"/>
    </row>
    <row r="475" spans="6:9" ht="12.75" x14ac:dyDescent="0.2">
      <c r="F475" s="22"/>
      <c r="I475" s="22"/>
    </row>
    <row r="476" spans="6:9" ht="12.75" x14ac:dyDescent="0.2">
      <c r="F476" s="22"/>
      <c r="I476" s="22"/>
    </row>
    <row r="477" spans="6:9" ht="12.75" x14ac:dyDescent="0.2">
      <c r="F477" s="22"/>
      <c r="I477" s="22"/>
    </row>
    <row r="478" spans="6:9" ht="12.75" x14ac:dyDescent="0.2">
      <c r="F478" s="22"/>
      <c r="I478" s="22"/>
    </row>
    <row r="479" spans="6:9" ht="12.75" x14ac:dyDescent="0.2">
      <c r="F479" s="22"/>
      <c r="I479" s="22"/>
    </row>
    <row r="480" spans="6:9" ht="12.75" x14ac:dyDescent="0.2">
      <c r="F480" s="22"/>
      <c r="I480" s="22"/>
    </row>
    <row r="481" spans="6:9" ht="12.75" x14ac:dyDescent="0.2">
      <c r="F481" s="22"/>
      <c r="I481" s="22"/>
    </row>
    <row r="482" spans="6:9" ht="12.75" x14ac:dyDescent="0.2">
      <c r="F482" s="22"/>
      <c r="I482" s="22"/>
    </row>
    <row r="483" spans="6:9" ht="12.75" x14ac:dyDescent="0.2">
      <c r="F483" s="22"/>
      <c r="I483" s="22"/>
    </row>
    <row r="484" spans="6:9" ht="12.75" x14ac:dyDescent="0.2">
      <c r="F484" s="22"/>
      <c r="I484" s="22"/>
    </row>
    <row r="485" spans="6:9" ht="12.75" x14ac:dyDescent="0.2">
      <c r="F485" s="22"/>
      <c r="I485" s="22"/>
    </row>
    <row r="486" spans="6:9" ht="12.75" x14ac:dyDescent="0.2">
      <c r="F486" s="22"/>
      <c r="I486" s="22"/>
    </row>
    <row r="487" spans="6:9" ht="12.75" x14ac:dyDescent="0.2">
      <c r="F487" s="22"/>
      <c r="I487" s="22"/>
    </row>
    <row r="488" spans="6:9" ht="12.75" x14ac:dyDescent="0.2">
      <c r="F488" s="22"/>
      <c r="I488" s="22"/>
    </row>
    <row r="489" spans="6:9" ht="12.75" x14ac:dyDescent="0.2">
      <c r="F489" s="22"/>
      <c r="I489" s="22"/>
    </row>
    <row r="490" spans="6:9" ht="12.75" x14ac:dyDescent="0.2">
      <c r="F490" s="22"/>
      <c r="I490" s="22"/>
    </row>
    <row r="491" spans="6:9" ht="12.75" x14ac:dyDescent="0.2">
      <c r="F491" s="22"/>
      <c r="I491" s="22"/>
    </row>
    <row r="492" spans="6:9" ht="12.75" x14ac:dyDescent="0.2">
      <c r="F492" s="22"/>
      <c r="I492" s="22"/>
    </row>
    <row r="493" spans="6:9" ht="12.75" x14ac:dyDescent="0.2">
      <c r="F493" s="22"/>
      <c r="I493" s="22"/>
    </row>
    <row r="494" spans="6:9" ht="12.75" x14ac:dyDescent="0.2">
      <c r="F494" s="22"/>
      <c r="I494" s="22"/>
    </row>
    <row r="495" spans="6:9" ht="12.75" x14ac:dyDescent="0.2">
      <c r="F495" s="22"/>
      <c r="I495" s="22"/>
    </row>
    <row r="496" spans="6:9" ht="12.75" x14ac:dyDescent="0.2">
      <c r="F496" s="22"/>
      <c r="I496" s="22"/>
    </row>
    <row r="497" spans="6:9" ht="12.75" x14ac:dyDescent="0.2">
      <c r="F497" s="22"/>
      <c r="I497" s="22"/>
    </row>
    <row r="498" spans="6:9" ht="12.75" x14ac:dyDescent="0.2">
      <c r="F498" s="22"/>
      <c r="I498" s="22"/>
    </row>
    <row r="499" spans="6:9" ht="12.75" x14ac:dyDescent="0.2">
      <c r="F499" s="22"/>
      <c r="I499" s="22"/>
    </row>
    <row r="500" spans="6:9" ht="12.75" x14ac:dyDescent="0.2">
      <c r="F500" s="22"/>
      <c r="I500" s="22"/>
    </row>
    <row r="501" spans="6:9" ht="12.75" x14ac:dyDescent="0.2">
      <c r="F501" s="22"/>
      <c r="I501" s="22"/>
    </row>
    <row r="502" spans="6:9" ht="12.75" x14ac:dyDescent="0.2">
      <c r="F502" s="22"/>
      <c r="I502" s="22"/>
    </row>
    <row r="503" spans="6:9" ht="12.75" x14ac:dyDescent="0.2">
      <c r="F503" s="22"/>
      <c r="I503" s="22"/>
    </row>
    <row r="504" spans="6:9" ht="12.75" x14ac:dyDescent="0.2">
      <c r="F504" s="22"/>
      <c r="I504" s="22"/>
    </row>
    <row r="505" spans="6:9" ht="12.75" x14ac:dyDescent="0.2">
      <c r="F505" s="22"/>
      <c r="I505" s="22"/>
    </row>
    <row r="506" spans="6:9" ht="12.75" x14ac:dyDescent="0.2">
      <c r="F506" s="22"/>
      <c r="I506" s="22"/>
    </row>
    <row r="507" spans="6:9" ht="12.75" x14ac:dyDescent="0.2">
      <c r="F507" s="22"/>
      <c r="I507" s="22"/>
    </row>
    <row r="508" spans="6:9" ht="12.75" x14ac:dyDescent="0.2">
      <c r="F508" s="22"/>
      <c r="I508" s="22"/>
    </row>
    <row r="509" spans="6:9" ht="12.75" x14ac:dyDescent="0.2">
      <c r="F509" s="22"/>
      <c r="I509" s="22"/>
    </row>
    <row r="510" spans="6:9" ht="12.75" x14ac:dyDescent="0.2">
      <c r="F510" s="22"/>
      <c r="I510" s="22"/>
    </row>
    <row r="511" spans="6:9" ht="12.75" x14ac:dyDescent="0.2">
      <c r="F511" s="22"/>
      <c r="I511" s="22"/>
    </row>
    <row r="512" spans="6:9" ht="12.75" x14ac:dyDescent="0.2">
      <c r="F512" s="22"/>
      <c r="I512" s="22"/>
    </row>
    <row r="513" spans="6:9" ht="12.75" x14ac:dyDescent="0.2">
      <c r="F513" s="22"/>
      <c r="I513" s="22"/>
    </row>
    <row r="514" spans="6:9" ht="12.75" x14ac:dyDescent="0.2">
      <c r="F514" s="22"/>
      <c r="I514" s="22"/>
    </row>
    <row r="515" spans="6:9" ht="12.75" x14ac:dyDescent="0.2">
      <c r="F515" s="22"/>
      <c r="I515" s="22"/>
    </row>
    <row r="516" spans="6:9" ht="12.75" x14ac:dyDescent="0.2">
      <c r="F516" s="22"/>
      <c r="I516" s="22"/>
    </row>
    <row r="517" spans="6:9" ht="12.75" x14ac:dyDescent="0.2">
      <c r="F517" s="22"/>
      <c r="I517" s="22"/>
    </row>
    <row r="518" spans="6:9" ht="12.75" x14ac:dyDescent="0.2">
      <c r="F518" s="22"/>
      <c r="I518" s="22"/>
    </row>
    <row r="519" spans="6:9" ht="12.75" x14ac:dyDescent="0.2">
      <c r="F519" s="22"/>
      <c r="I519" s="22"/>
    </row>
    <row r="520" spans="6:9" ht="12.75" x14ac:dyDescent="0.2">
      <c r="F520" s="22"/>
      <c r="I520" s="22"/>
    </row>
    <row r="521" spans="6:9" ht="12.75" x14ac:dyDescent="0.2">
      <c r="F521" s="22"/>
      <c r="I521" s="22"/>
    </row>
    <row r="522" spans="6:9" ht="12.75" x14ac:dyDescent="0.2">
      <c r="F522" s="22"/>
      <c r="I522" s="22"/>
    </row>
    <row r="523" spans="6:9" ht="12.75" x14ac:dyDescent="0.2">
      <c r="F523" s="22"/>
      <c r="I523" s="22"/>
    </row>
    <row r="524" spans="6:9" ht="12.75" x14ac:dyDescent="0.2">
      <c r="F524" s="22"/>
      <c r="I524" s="22"/>
    </row>
    <row r="525" spans="6:9" ht="12.75" x14ac:dyDescent="0.2">
      <c r="F525" s="22"/>
      <c r="I525" s="22"/>
    </row>
    <row r="526" spans="6:9" ht="12.75" x14ac:dyDescent="0.2">
      <c r="F526" s="22"/>
      <c r="I526" s="22"/>
    </row>
    <row r="527" spans="6:9" ht="12.75" x14ac:dyDescent="0.2">
      <c r="F527" s="22"/>
      <c r="I527" s="22"/>
    </row>
    <row r="528" spans="6:9" ht="12.75" x14ac:dyDescent="0.2">
      <c r="F528" s="22"/>
      <c r="I528" s="22"/>
    </row>
    <row r="529" spans="6:9" ht="12.75" x14ac:dyDescent="0.2">
      <c r="F529" s="22"/>
      <c r="I529" s="22"/>
    </row>
    <row r="530" spans="6:9" ht="12.75" x14ac:dyDescent="0.2">
      <c r="F530" s="22"/>
      <c r="I530" s="22"/>
    </row>
    <row r="531" spans="6:9" ht="12.75" x14ac:dyDescent="0.2">
      <c r="F531" s="22"/>
      <c r="I531" s="22"/>
    </row>
    <row r="532" spans="6:9" ht="12.75" x14ac:dyDescent="0.2">
      <c r="F532" s="22"/>
      <c r="I532" s="22"/>
    </row>
    <row r="533" spans="6:9" ht="12.75" x14ac:dyDescent="0.2">
      <c r="F533" s="22"/>
      <c r="I533" s="22"/>
    </row>
    <row r="534" spans="6:9" ht="12.75" x14ac:dyDescent="0.2">
      <c r="F534" s="22"/>
      <c r="I534" s="22"/>
    </row>
    <row r="535" spans="6:9" ht="12.75" x14ac:dyDescent="0.2">
      <c r="F535" s="22"/>
      <c r="I535" s="22"/>
    </row>
    <row r="536" spans="6:9" ht="12.75" x14ac:dyDescent="0.2">
      <c r="F536" s="22"/>
      <c r="I536" s="22"/>
    </row>
    <row r="537" spans="6:9" ht="12.75" x14ac:dyDescent="0.2">
      <c r="F537" s="22"/>
      <c r="I537" s="22"/>
    </row>
    <row r="538" spans="6:9" ht="12.75" x14ac:dyDescent="0.2">
      <c r="F538" s="22"/>
      <c r="I538" s="22"/>
    </row>
    <row r="539" spans="6:9" ht="12.75" x14ac:dyDescent="0.2">
      <c r="F539" s="22"/>
      <c r="I539" s="22"/>
    </row>
    <row r="540" spans="6:9" ht="12.75" x14ac:dyDescent="0.2">
      <c r="F540" s="22"/>
      <c r="I540" s="22"/>
    </row>
    <row r="541" spans="6:9" ht="12.75" x14ac:dyDescent="0.2">
      <c r="F541" s="22"/>
      <c r="I541" s="22"/>
    </row>
    <row r="542" spans="6:9" ht="12.75" x14ac:dyDescent="0.2">
      <c r="F542" s="22"/>
      <c r="I542" s="22"/>
    </row>
    <row r="543" spans="6:9" ht="12.75" x14ac:dyDescent="0.2">
      <c r="F543" s="22"/>
      <c r="I543" s="22"/>
    </row>
    <row r="544" spans="6:9" ht="12.75" x14ac:dyDescent="0.2">
      <c r="F544" s="22"/>
      <c r="I544" s="22"/>
    </row>
    <row r="545" spans="6:9" ht="12.75" x14ac:dyDescent="0.2">
      <c r="F545" s="22"/>
      <c r="I545" s="22"/>
    </row>
    <row r="546" spans="6:9" ht="12.75" x14ac:dyDescent="0.2">
      <c r="F546" s="22"/>
      <c r="I546" s="22"/>
    </row>
    <row r="547" spans="6:9" ht="12.75" x14ac:dyDescent="0.2">
      <c r="F547" s="22"/>
      <c r="I547" s="22"/>
    </row>
    <row r="548" spans="6:9" ht="12.75" x14ac:dyDescent="0.2">
      <c r="F548" s="22"/>
      <c r="I548" s="22"/>
    </row>
    <row r="549" spans="6:9" ht="12.75" x14ac:dyDescent="0.2">
      <c r="F549" s="22"/>
      <c r="I549" s="22"/>
    </row>
    <row r="550" spans="6:9" ht="12.75" x14ac:dyDescent="0.2">
      <c r="F550" s="22"/>
      <c r="I550" s="22"/>
    </row>
    <row r="551" spans="6:9" ht="12.75" x14ac:dyDescent="0.2">
      <c r="F551" s="22"/>
      <c r="I551" s="22"/>
    </row>
    <row r="552" spans="6:9" ht="12.75" x14ac:dyDescent="0.2">
      <c r="F552" s="22"/>
      <c r="I552" s="22"/>
    </row>
    <row r="553" spans="6:9" ht="12.75" x14ac:dyDescent="0.2">
      <c r="F553" s="22"/>
      <c r="I553" s="22"/>
    </row>
    <row r="554" spans="6:9" ht="12.75" x14ac:dyDescent="0.2">
      <c r="F554" s="22"/>
      <c r="I554" s="22"/>
    </row>
    <row r="555" spans="6:9" ht="12.75" x14ac:dyDescent="0.2">
      <c r="F555" s="22"/>
      <c r="I555" s="22"/>
    </row>
    <row r="556" spans="6:9" ht="12.75" x14ac:dyDescent="0.2">
      <c r="F556" s="22"/>
      <c r="I556" s="22"/>
    </row>
    <row r="557" spans="6:9" ht="12.75" x14ac:dyDescent="0.2">
      <c r="F557" s="22"/>
      <c r="I557" s="22"/>
    </row>
    <row r="558" spans="6:9" ht="12.75" x14ac:dyDescent="0.2">
      <c r="F558" s="22"/>
      <c r="I558" s="22"/>
    </row>
    <row r="559" spans="6:9" ht="12.75" x14ac:dyDescent="0.2">
      <c r="F559" s="22"/>
      <c r="I559" s="22"/>
    </row>
    <row r="560" spans="6:9" ht="12.75" x14ac:dyDescent="0.2">
      <c r="F560" s="22"/>
      <c r="I560" s="22"/>
    </row>
    <row r="561" spans="6:9" ht="12.75" x14ac:dyDescent="0.2">
      <c r="F561" s="22"/>
      <c r="I561" s="22"/>
    </row>
    <row r="562" spans="6:9" ht="12.75" x14ac:dyDescent="0.2">
      <c r="F562" s="22"/>
      <c r="I562" s="22"/>
    </row>
    <row r="563" spans="6:9" ht="12.75" x14ac:dyDescent="0.2">
      <c r="F563" s="22"/>
      <c r="I563" s="22"/>
    </row>
    <row r="564" spans="6:9" ht="12.75" x14ac:dyDescent="0.2">
      <c r="F564" s="22"/>
      <c r="I564" s="22"/>
    </row>
    <row r="565" spans="6:9" ht="12.75" x14ac:dyDescent="0.2">
      <c r="F565" s="22"/>
      <c r="I565" s="22"/>
    </row>
    <row r="566" spans="6:9" ht="12.75" x14ac:dyDescent="0.2">
      <c r="F566" s="22"/>
      <c r="I566" s="22"/>
    </row>
    <row r="567" spans="6:9" ht="12.75" x14ac:dyDescent="0.2">
      <c r="F567" s="22"/>
      <c r="I567" s="22"/>
    </row>
    <row r="568" spans="6:9" ht="12.75" x14ac:dyDescent="0.2">
      <c r="F568" s="22"/>
      <c r="I568" s="22"/>
    </row>
    <row r="569" spans="6:9" ht="12.75" x14ac:dyDescent="0.2">
      <c r="F569" s="22"/>
      <c r="I569" s="22"/>
    </row>
    <row r="570" spans="6:9" ht="12.75" x14ac:dyDescent="0.2">
      <c r="F570" s="22"/>
      <c r="I570" s="22"/>
    </row>
    <row r="571" spans="6:9" ht="12.75" x14ac:dyDescent="0.2">
      <c r="F571" s="22"/>
      <c r="I571" s="22"/>
    </row>
    <row r="572" spans="6:9" ht="12.75" x14ac:dyDescent="0.2">
      <c r="F572" s="22"/>
      <c r="I572" s="22"/>
    </row>
    <row r="573" spans="6:9" ht="12.75" x14ac:dyDescent="0.2">
      <c r="F573" s="22"/>
      <c r="I573" s="22"/>
    </row>
    <row r="574" spans="6:9" ht="12.75" x14ac:dyDescent="0.2">
      <c r="F574" s="22"/>
      <c r="I574" s="22"/>
    </row>
    <row r="575" spans="6:9" ht="12.75" x14ac:dyDescent="0.2">
      <c r="F575" s="22"/>
      <c r="I575" s="22"/>
    </row>
    <row r="576" spans="6:9" ht="12.75" x14ac:dyDescent="0.2">
      <c r="F576" s="22"/>
      <c r="I576" s="22"/>
    </row>
    <row r="577" spans="6:9" ht="12.75" x14ac:dyDescent="0.2">
      <c r="F577" s="22"/>
      <c r="I577" s="22"/>
    </row>
    <row r="578" spans="6:9" ht="12.75" x14ac:dyDescent="0.2">
      <c r="F578" s="22"/>
      <c r="I578" s="22"/>
    </row>
    <row r="579" spans="6:9" ht="12.75" x14ac:dyDescent="0.2">
      <c r="F579" s="22"/>
      <c r="I579" s="22"/>
    </row>
    <row r="580" spans="6:9" ht="12.75" x14ac:dyDescent="0.2">
      <c r="F580" s="22"/>
      <c r="I580" s="22"/>
    </row>
    <row r="581" spans="6:9" ht="12.75" x14ac:dyDescent="0.2">
      <c r="F581" s="22"/>
      <c r="I581" s="22"/>
    </row>
    <row r="582" spans="6:9" ht="12.75" x14ac:dyDescent="0.2">
      <c r="F582" s="22"/>
      <c r="I582" s="22"/>
    </row>
    <row r="583" spans="6:9" ht="12.75" x14ac:dyDescent="0.2">
      <c r="F583" s="22"/>
      <c r="I583" s="22"/>
    </row>
    <row r="584" spans="6:9" ht="12.75" x14ac:dyDescent="0.2">
      <c r="F584" s="22"/>
      <c r="I584" s="22"/>
    </row>
    <row r="585" spans="6:9" ht="12.75" x14ac:dyDescent="0.2">
      <c r="F585" s="22"/>
      <c r="I585" s="22"/>
    </row>
    <row r="586" spans="6:9" ht="12.75" x14ac:dyDescent="0.2">
      <c r="F586" s="22"/>
      <c r="I586" s="22"/>
    </row>
    <row r="587" spans="6:9" ht="12.75" x14ac:dyDescent="0.2">
      <c r="F587" s="22"/>
      <c r="I587" s="22"/>
    </row>
    <row r="588" spans="6:9" ht="12.75" x14ac:dyDescent="0.2">
      <c r="F588" s="22"/>
      <c r="I588" s="22"/>
    </row>
    <row r="589" spans="6:9" ht="12.75" x14ac:dyDescent="0.2">
      <c r="F589" s="22"/>
      <c r="I589" s="22"/>
    </row>
    <row r="590" spans="6:9" ht="12.75" x14ac:dyDescent="0.2">
      <c r="F590" s="22"/>
      <c r="I590" s="22"/>
    </row>
    <row r="591" spans="6:9" ht="12.75" x14ac:dyDescent="0.2">
      <c r="F591" s="22"/>
      <c r="I591" s="22"/>
    </row>
    <row r="592" spans="6:9" ht="12.75" x14ac:dyDescent="0.2">
      <c r="F592" s="22"/>
      <c r="I592" s="22"/>
    </row>
    <row r="593" spans="6:9" ht="12.75" x14ac:dyDescent="0.2">
      <c r="F593" s="22"/>
      <c r="I593" s="22"/>
    </row>
    <row r="594" spans="6:9" ht="12.75" x14ac:dyDescent="0.2">
      <c r="F594" s="22"/>
      <c r="I594" s="22"/>
    </row>
    <row r="595" spans="6:9" ht="12.75" x14ac:dyDescent="0.2">
      <c r="F595" s="22"/>
      <c r="I595" s="22"/>
    </row>
    <row r="596" spans="6:9" ht="12.75" x14ac:dyDescent="0.2">
      <c r="F596" s="22"/>
      <c r="I596" s="22"/>
    </row>
    <row r="597" spans="6:9" ht="12.75" x14ac:dyDescent="0.2">
      <c r="F597" s="22"/>
      <c r="I597" s="22"/>
    </row>
    <row r="598" spans="6:9" ht="12.75" x14ac:dyDescent="0.2">
      <c r="F598" s="22"/>
      <c r="I598" s="22"/>
    </row>
    <row r="599" spans="6:9" ht="12.75" x14ac:dyDescent="0.2">
      <c r="F599" s="22"/>
      <c r="I599" s="22"/>
    </row>
    <row r="600" spans="6:9" ht="12.75" x14ac:dyDescent="0.2">
      <c r="F600" s="22"/>
      <c r="I600" s="22"/>
    </row>
    <row r="601" spans="6:9" ht="12.75" x14ac:dyDescent="0.2">
      <c r="F601" s="22"/>
      <c r="I601" s="22"/>
    </row>
    <row r="602" spans="6:9" ht="12.75" x14ac:dyDescent="0.2">
      <c r="F602" s="22"/>
      <c r="I602" s="22"/>
    </row>
    <row r="603" spans="6:9" ht="12.75" x14ac:dyDescent="0.2">
      <c r="F603" s="22"/>
      <c r="I603" s="22"/>
    </row>
    <row r="604" spans="6:9" ht="12.75" x14ac:dyDescent="0.2">
      <c r="F604" s="22"/>
      <c r="I604" s="22"/>
    </row>
    <row r="605" spans="6:9" ht="12.75" x14ac:dyDescent="0.2">
      <c r="F605" s="22"/>
      <c r="I605" s="22"/>
    </row>
    <row r="606" spans="6:9" ht="12.75" x14ac:dyDescent="0.2">
      <c r="F606" s="22"/>
      <c r="I606" s="22"/>
    </row>
    <row r="607" spans="6:9" ht="12.75" x14ac:dyDescent="0.2">
      <c r="F607" s="22"/>
      <c r="I607" s="22"/>
    </row>
    <row r="608" spans="6:9" ht="12.75" x14ac:dyDescent="0.2">
      <c r="F608" s="22"/>
      <c r="I608" s="22"/>
    </row>
    <row r="609" spans="6:9" ht="12.75" x14ac:dyDescent="0.2">
      <c r="F609" s="22"/>
      <c r="I609" s="22"/>
    </row>
    <row r="610" spans="6:9" ht="12.75" x14ac:dyDescent="0.2">
      <c r="F610" s="22"/>
      <c r="I610" s="22"/>
    </row>
    <row r="611" spans="6:9" ht="12.75" x14ac:dyDescent="0.2">
      <c r="F611" s="22"/>
      <c r="I611" s="22"/>
    </row>
    <row r="612" spans="6:9" ht="12.75" x14ac:dyDescent="0.2">
      <c r="F612" s="22"/>
      <c r="I612" s="22"/>
    </row>
    <row r="613" spans="6:9" ht="12.75" x14ac:dyDescent="0.2">
      <c r="F613" s="22"/>
      <c r="I613" s="22"/>
    </row>
    <row r="614" spans="6:9" ht="12.75" x14ac:dyDescent="0.2">
      <c r="F614" s="22"/>
      <c r="I614" s="22"/>
    </row>
    <row r="615" spans="6:9" ht="12.75" x14ac:dyDescent="0.2">
      <c r="F615" s="22"/>
      <c r="I615" s="22"/>
    </row>
    <row r="616" spans="6:9" ht="12.75" x14ac:dyDescent="0.2">
      <c r="F616" s="22"/>
      <c r="I616" s="22"/>
    </row>
    <row r="617" spans="6:9" ht="12.75" x14ac:dyDescent="0.2">
      <c r="F617" s="22"/>
      <c r="I617" s="22"/>
    </row>
    <row r="618" spans="6:9" ht="12.75" x14ac:dyDescent="0.2">
      <c r="F618" s="22"/>
      <c r="I618" s="22"/>
    </row>
    <row r="619" spans="6:9" ht="12.75" x14ac:dyDescent="0.2">
      <c r="F619" s="22"/>
      <c r="I619" s="22"/>
    </row>
    <row r="620" spans="6:9" ht="12.75" x14ac:dyDescent="0.2">
      <c r="F620" s="22"/>
      <c r="I620" s="22"/>
    </row>
    <row r="621" spans="6:9" ht="12.75" x14ac:dyDescent="0.2">
      <c r="F621" s="22"/>
      <c r="I621" s="22"/>
    </row>
    <row r="622" spans="6:9" ht="12.75" x14ac:dyDescent="0.2">
      <c r="F622" s="22"/>
      <c r="I622" s="22"/>
    </row>
    <row r="623" spans="6:9" ht="12.75" x14ac:dyDescent="0.2">
      <c r="F623" s="22"/>
      <c r="I623" s="22"/>
    </row>
    <row r="624" spans="6:9" ht="12.75" x14ac:dyDescent="0.2">
      <c r="F624" s="22"/>
      <c r="I624" s="22"/>
    </row>
    <row r="625" spans="6:9" ht="12.75" x14ac:dyDescent="0.2">
      <c r="F625" s="22"/>
      <c r="I625" s="22"/>
    </row>
    <row r="626" spans="6:9" ht="12.75" x14ac:dyDescent="0.2">
      <c r="F626" s="22"/>
      <c r="I626" s="22"/>
    </row>
    <row r="627" spans="6:9" ht="12.75" x14ac:dyDescent="0.2">
      <c r="F627" s="22"/>
      <c r="I627" s="22"/>
    </row>
    <row r="628" spans="6:9" ht="12.75" x14ac:dyDescent="0.2">
      <c r="F628" s="22"/>
      <c r="I628" s="22"/>
    </row>
    <row r="629" spans="6:9" ht="12.75" x14ac:dyDescent="0.2">
      <c r="F629" s="22"/>
      <c r="I629" s="22"/>
    </row>
    <row r="630" spans="6:9" ht="12.75" x14ac:dyDescent="0.2">
      <c r="F630" s="22"/>
      <c r="I630" s="22"/>
    </row>
    <row r="631" spans="6:9" ht="12.75" x14ac:dyDescent="0.2">
      <c r="F631" s="22"/>
      <c r="I631" s="22"/>
    </row>
    <row r="632" spans="6:9" ht="12.75" x14ac:dyDescent="0.2">
      <c r="F632" s="22"/>
      <c r="I632" s="22"/>
    </row>
    <row r="633" spans="6:9" ht="12.75" x14ac:dyDescent="0.2">
      <c r="F633" s="22"/>
      <c r="I633" s="22"/>
    </row>
    <row r="634" spans="6:9" ht="12.75" x14ac:dyDescent="0.2">
      <c r="F634" s="22"/>
      <c r="I634" s="22"/>
    </row>
    <row r="635" spans="6:9" ht="12.75" x14ac:dyDescent="0.2">
      <c r="F635" s="22"/>
      <c r="I635" s="22"/>
    </row>
    <row r="636" spans="6:9" ht="12.75" x14ac:dyDescent="0.2">
      <c r="F636" s="22"/>
      <c r="I636" s="22"/>
    </row>
    <row r="637" spans="6:9" ht="12.75" x14ac:dyDescent="0.2">
      <c r="F637" s="22"/>
      <c r="I637" s="22"/>
    </row>
    <row r="638" spans="6:9" ht="12.75" x14ac:dyDescent="0.2">
      <c r="F638" s="22"/>
      <c r="I638" s="22"/>
    </row>
    <row r="639" spans="6:9" ht="12.75" x14ac:dyDescent="0.2">
      <c r="F639" s="22"/>
      <c r="I639" s="22"/>
    </row>
    <row r="640" spans="6:9" ht="12.75" x14ac:dyDescent="0.2">
      <c r="F640" s="22"/>
      <c r="I640" s="22"/>
    </row>
    <row r="641" spans="6:9" ht="12.75" x14ac:dyDescent="0.2">
      <c r="F641" s="22"/>
      <c r="I641" s="22"/>
    </row>
    <row r="642" spans="6:9" ht="12.75" x14ac:dyDescent="0.2">
      <c r="F642" s="22"/>
      <c r="I642" s="22"/>
    </row>
    <row r="643" spans="6:9" ht="12.75" x14ac:dyDescent="0.2">
      <c r="F643" s="22"/>
      <c r="I643" s="22"/>
    </row>
    <row r="644" spans="6:9" ht="12.75" x14ac:dyDescent="0.2">
      <c r="F644" s="22"/>
      <c r="I644" s="22"/>
    </row>
    <row r="645" spans="6:9" ht="12.75" x14ac:dyDescent="0.2">
      <c r="F645" s="22"/>
      <c r="I645" s="22"/>
    </row>
    <row r="646" spans="6:9" ht="12.75" x14ac:dyDescent="0.2">
      <c r="F646" s="22"/>
      <c r="I646" s="22"/>
    </row>
    <row r="647" spans="6:9" ht="12.75" x14ac:dyDescent="0.2">
      <c r="F647" s="22"/>
      <c r="I647" s="22"/>
    </row>
    <row r="648" spans="6:9" ht="12.75" x14ac:dyDescent="0.2">
      <c r="F648" s="22"/>
      <c r="I648" s="22"/>
    </row>
    <row r="649" spans="6:9" ht="12.75" x14ac:dyDescent="0.2">
      <c r="F649" s="22"/>
      <c r="I649" s="22"/>
    </row>
    <row r="650" spans="6:9" ht="12.75" x14ac:dyDescent="0.2">
      <c r="F650" s="22"/>
      <c r="I650" s="22"/>
    </row>
    <row r="651" spans="6:9" ht="12.75" x14ac:dyDescent="0.2">
      <c r="F651" s="22"/>
      <c r="I651" s="22"/>
    </row>
    <row r="652" spans="6:9" ht="12.75" x14ac:dyDescent="0.2">
      <c r="F652" s="22"/>
      <c r="I652" s="22"/>
    </row>
    <row r="653" spans="6:9" ht="12.75" x14ac:dyDescent="0.2">
      <c r="F653" s="22"/>
      <c r="I653" s="22"/>
    </row>
    <row r="654" spans="6:9" ht="12.75" x14ac:dyDescent="0.2">
      <c r="F654" s="22"/>
      <c r="I654" s="22"/>
    </row>
    <row r="655" spans="6:9" ht="12.75" x14ac:dyDescent="0.2">
      <c r="F655" s="22"/>
      <c r="I655" s="22"/>
    </row>
    <row r="656" spans="6:9" ht="12.75" x14ac:dyDescent="0.2">
      <c r="F656" s="22"/>
      <c r="I656" s="22"/>
    </row>
    <row r="657" spans="6:9" ht="12.75" x14ac:dyDescent="0.2">
      <c r="F657" s="22"/>
      <c r="I657" s="22"/>
    </row>
    <row r="658" spans="6:9" ht="12.75" x14ac:dyDescent="0.2">
      <c r="F658" s="22"/>
      <c r="I658" s="22"/>
    </row>
    <row r="659" spans="6:9" ht="12.75" x14ac:dyDescent="0.2">
      <c r="F659" s="22"/>
      <c r="I659" s="22"/>
    </row>
    <row r="660" spans="6:9" ht="12.75" x14ac:dyDescent="0.2">
      <c r="F660" s="22"/>
      <c r="I660" s="22"/>
    </row>
    <row r="661" spans="6:9" ht="12.75" x14ac:dyDescent="0.2">
      <c r="F661" s="22"/>
      <c r="I661" s="22"/>
    </row>
    <row r="662" spans="6:9" ht="12.75" x14ac:dyDescent="0.2">
      <c r="F662" s="22"/>
      <c r="I662" s="22"/>
    </row>
    <row r="663" spans="6:9" ht="12.75" x14ac:dyDescent="0.2">
      <c r="F663" s="22"/>
      <c r="I663" s="22"/>
    </row>
    <row r="664" spans="6:9" ht="12.75" x14ac:dyDescent="0.2">
      <c r="F664" s="22"/>
      <c r="I664" s="22"/>
    </row>
    <row r="665" spans="6:9" ht="12.75" x14ac:dyDescent="0.2">
      <c r="F665" s="22"/>
      <c r="I665" s="22"/>
    </row>
    <row r="666" spans="6:9" ht="12.75" x14ac:dyDescent="0.2">
      <c r="F666" s="22"/>
      <c r="I666" s="22"/>
    </row>
    <row r="667" spans="6:9" ht="12.75" x14ac:dyDescent="0.2">
      <c r="F667" s="22"/>
      <c r="I667" s="22"/>
    </row>
    <row r="668" spans="6:9" ht="12.75" x14ac:dyDescent="0.2">
      <c r="F668" s="22"/>
      <c r="I668" s="22"/>
    </row>
    <row r="669" spans="6:9" ht="12.75" x14ac:dyDescent="0.2">
      <c r="F669" s="22"/>
      <c r="I669" s="22"/>
    </row>
    <row r="670" spans="6:9" ht="12.75" x14ac:dyDescent="0.2">
      <c r="F670" s="22"/>
      <c r="I670" s="22"/>
    </row>
    <row r="671" spans="6:9" ht="12.75" x14ac:dyDescent="0.2">
      <c r="F671" s="22"/>
      <c r="I671" s="22"/>
    </row>
    <row r="672" spans="6:9" ht="12.75" x14ac:dyDescent="0.2">
      <c r="F672" s="22"/>
      <c r="I672" s="22"/>
    </row>
    <row r="673" spans="6:9" ht="12.75" x14ac:dyDescent="0.2">
      <c r="F673" s="22"/>
      <c r="I673" s="22"/>
    </row>
    <row r="674" spans="6:9" ht="12.75" x14ac:dyDescent="0.2">
      <c r="F674" s="22"/>
      <c r="I674" s="22"/>
    </row>
    <row r="675" spans="6:9" ht="12.75" x14ac:dyDescent="0.2">
      <c r="F675" s="22"/>
      <c r="I675" s="22"/>
    </row>
    <row r="676" spans="6:9" ht="12.75" x14ac:dyDescent="0.2">
      <c r="F676" s="22"/>
      <c r="I676" s="22"/>
    </row>
    <row r="677" spans="6:9" ht="12.75" x14ac:dyDescent="0.2">
      <c r="F677" s="22"/>
      <c r="I677" s="22"/>
    </row>
    <row r="678" spans="6:9" ht="12.75" x14ac:dyDescent="0.2">
      <c r="F678" s="22"/>
      <c r="I678" s="22"/>
    </row>
    <row r="679" spans="6:9" ht="12.75" x14ac:dyDescent="0.2">
      <c r="F679" s="22"/>
      <c r="I679" s="22"/>
    </row>
    <row r="680" spans="6:9" ht="12.75" x14ac:dyDescent="0.2">
      <c r="F680" s="22"/>
      <c r="I680" s="22"/>
    </row>
    <row r="681" spans="6:9" ht="12.75" x14ac:dyDescent="0.2">
      <c r="F681" s="22"/>
      <c r="I681" s="22"/>
    </row>
    <row r="682" spans="6:9" ht="12.75" x14ac:dyDescent="0.2">
      <c r="F682" s="22"/>
      <c r="I682" s="22"/>
    </row>
    <row r="683" spans="6:9" ht="12.75" x14ac:dyDescent="0.2">
      <c r="F683" s="22"/>
      <c r="I683" s="22"/>
    </row>
    <row r="684" spans="6:9" ht="12.75" x14ac:dyDescent="0.2">
      <c r="F684" s="22"/>
      <c r="I684" s="22"/>
    </row>
    <row r="685" spans="6:9" ht="12.75" x14ac:dyDescent="0.2">
      <c r="F685" s="22"/>
      <c r="I685" s="22"/>
    </row>
    <row r="686" spans="6:9" ht="12.75" x14ac:dyDescent="0.2">
      <c r="F686" s="22"/>
      <c r="I686" s="22"/>
    </row>
    <row r="687" spans="6:9" ht="12.75" x14ac:dyDescent="0.2">
      <c r="F687" s="22"/>
      <c r="I687" s="22"/>
    </row>
    <row r="688" spans="6:9" ht="12.75" x14ac:dyDescent="0.2">
      <c r="F688" s="22"/>
      <c r="I688" s="22"/>
    </row>
    <row r="689" spans="6:9" ht="12.75" x14ac:dyDescent="0.2">
      <c r="F689" s="22"/>
      <c r="I689" s="22"/>
    </row>
    <row r="690" spans="6:9" ht="12.75" x14ac:dyDescent="0.2">
      <c r="F690" s="22"/>
      <c r="I690" s="22"/>
    </row>
    <row r="691" spans="6:9" ht="12.75" x14ac:dyDescent="0.2">
      <c r="F691" s="22"/>
      <c r="I691" s="22"/>
    </row>
    <row r="692" spans="6:9" ht="12.75" x14ac:dyDescent="0.2">
      <c r="F692" s="22"/>
      <c r="I692" s="22"/>
    </row>
    <row r="693" spans="6:9" ht="12.75" x14ac:dyDescent="0.2">
      <c r="F693" s="22"/>
      <c r="I693" s="22"/>
    </row>
    <row r="694" spans="6:9" ht="12.75" x14ac:dyDescent="0.2">
      <c r="F694" s="22"/>
      <c r="I694" s="22"/>
    </row>
    <row r="695" spans="6:9" ht="12.75" x14ac:dyDescent="0.2">
      <c r="F695" s="22"/>
      <c r="I695" s="22"/>
    </row>
    <row r="696" spans="6:9" ht="12.75" x14ac:dyDescent="0.2">
      <c r="F696" s="22"/>
      <c r="I696" s="22"/>
    </row>
    <row r="697" spans="6:9" ht="12.75" x14ac:dyDescent="0.2">
      <c r="F697" s="22"/>
      <c r="I697" s="22"/>
    </row>
    <row r="698" spans="6:9" ht="12.75" x14ac:dyDescent="0.2">
      <c r="F698" s="22"/>
      <c r="I698" s="22"/>
    </row>
    <row r="699" spans="6:9" ht="12.75" x14ac:dyDescent="0.2">
      <c r="F699" s="22"/>
      <c r="I699" s="22"/>
    </row>
    <row r="700" spans="6:9" ht="12.75" x14ac:dyDescent="0.2">
      <c r="F700" s="22"/>
      <c r="I700" s="22"/>
    </row>
    <row r="701" spans="6:9" ht="12.75" x14ac:dyDescent="0.2">
      <c r="F701" s="22"/>
      <c r="I701" s="22"/>
    </row>
    <row r="702" spans="6:9" ht="12.75" x14ac:dyDescent="0.2">
      <c r="F702" s="22"/>
      <c r="I702" s="22"/>
    </row>
    <row r="703" spans="6:9" ht="12.75" x14ac:dyDescent="0.2">
      <c r="F703" s="22"/>
      <c r="I703" s="22"/>
    </row>
    <row r="704" spans="6:9" ht="12.75" x14ac:dyDescent="0.2">
      <c r="F704" s="22"/>
      <c r="I704" s="22"/>
    </row>
    <row r="705" spans="6:9" ht="12.75" x14ac:dyDescent="0.2">
      <c r="F705" s="22"/>
      <c r="I705" s="22"/>
    </row>
    <row r="706" spans="6:9" ht="12.75" x14ac:dyDescent="0.2">
      <c r="F706" s="22"/>
      <c r="I706" s="22"/>
    </row>
    <row r="707" spans="6:9" ht="12.75" x14ac:dyDescent="0.2">
      <c r="F707" s="22"/>
      <c r="I707" s="22"/>
    </row>
    <row r="708" spans="6:9" ht="12.75" x14ac:dyDescent="0.2">
      <c r="F708" s="22"/>
      <c r="I708" s="22"/>
    </row>
    <row r="709" spans="6:9" ht="12.75" x14ac:dyDescent="0.2">
      <c r="F709" s="22"/>
      <c r="I709" s="22"/>
    </row>
    <row r="710" spans="6:9" ht="12.75" x14ac:dyDescent="0.2">
      <c r="F710" s="22"/>
      <c r="I710" s="22"/>
    </row>
    <row r="711" spans="6:9" ht="12.75" x14ac:dyDescent="0.2">
      <c r="F711" s="22"/>
      <c r="I711" s="22"/>
    </row>
    <row r="712" spans="6:9" ht="12.75" x14ac:dyDescent="0.2">
      <c r="F712" s="22"/>
      <c r="I712" s="22"/>
    </row>
    <row r="713" spans="6:9" ht="12.75" x14ac:dyDescent="0.2">
      <c r="F713" s="22"/>
      <c r="I713" s="22"/>
    </row>
    <row r="714" spans="6:9" ht="12.75" x14ac:dyDescent="0.2">
      <c r="F714" s="22"/>
      <c r="I714" s="22"/>
    </row>
    <row r="715" spans="6:9" ht="12.75" x14ac:dyDescent="0.2">
      <c r="F715" s="22"/>
      <c r="I715" s="22"/>
    </row>
    <row r="716" spans="6:9" ht="12.75" x14ac:dyDescent="0.2">
      <c r="F716" s="22"/>
      <c r="I716" s="22"/>
    </row>
    <row r="717" spans="6:9" ht="12.75" x14ac:dyDescent="0.2">
      <c r="F717" s="22"/>
      <c r="I717" s="22"/>
    </row>
    <row r="718" spans="6:9" ht="12.75" x14ac:dyDescent="0.2">
      <c r="F718" s="22"/>
      <c r="I718" s="22"/>
    </row>
    <row r="719" spans="6:9" ht="12.75" x14ac:dyDescent="0.2">
      <c r="F719" s="22"/>
      <c r="I719" s="22"/>
    </row>
    <row r="720" spans="6:9" ht="12.75" x14ac:dyDescent="0.2">
      <c r="F720" s="22"/>
      <c r="I720" s="22"/>
    </row>
    <row r="721" spans="6:9" ht="12.75" x14ac:dyDescent="0.2">
      <c r="F721" s="22"/>
      <c r="I721" s="22"/>
    </row>
    <row r="722" spans="6:9" ht="12.75" x14ac:dyDescent="0.2">
      <c r="F722" s="22"/>
      <c r="I722" s="22"/>
    </row>
    <row r="723" spans="6:9" ht="12.75" x14ac:dyDescent="0.2">
      <c r="F723" s="22"/>
      <c r="I723" s="22"/>
    </row>
    <row r="724" spans="6:9" ht="12.75" x14ac:dyDescent="0.2">
      <c r="F724" s="22"/>
      <c r="I724" s="22"/>
    </row>
    <row r="725" spans="6:9" ht="12.75" x14ac:dyDescent="0.2">
      <c r="F725" s="22"/>
      <c r="I725" s="22"/>
    </row>
    <row r="726" spans="6:9" ht="12.75" x14ac:dyDescent="0.2">
      <c r="F726" s="22"/>
      <c r="I726" s="22"/>
    </row>
    <row r="727" spans="6:9" ht="12.75" x14ac:dyDescent="0.2">
      <c r="F727" s="22"/>
      <c r="I727" s="22"/>
    </row>
    <row r="728" spans="6:9" ht="12.75" x14ac:dyDescent="0.2">
      <c r="F728" s="22"/>
      <c r="I728" s="22"/>
    </row>
    <row r="729" spans="6:9" ht="12.75" x14ac:dyDescent="0.2">
      <c r="F729" s="22"/>
      <c r="I729" s="22"/>
    </row>
    <row r="730" spans="6:9" ht="12.75" x14ac:dyDescent="0.2">
      <c r="F730" s="22"/>
      <c r="I730" s="22"/>
    </row>
    <row r="731" spans="6:9" ht="12.75" x14ac:dyDescent="0.2">
      <c r="F731" s="22"/>
      <c r="I731" s="22"/>
    </row>
    <row r="732" spans="6:9" ht="12.75" x14ac:dyDescent="0.2">
      <c r="F732" s="22"/>
      <c r="I732" s="22"/>
    </row>
    <row r="733" spans="6:9" ht="12.75" x14ac:dyDescent="0.2">
      <c r="F733" s="22"/>
      <c r="I733" s="22"/>
    </row>
    <row r="734" spans="6:9" ht="12.75" x14ac:dyDescent="0.2">
      <c r="F734" s="22"/>
      <c r="I734" s="22"/>
    </row>
    <row r="735" spans="6:9" ht="12.75" x14ac:dyDescent="0.2">
      <c r="F735" s="22"/>
      <c r="I735" s="22"/>
    </row>
    <row r="736" spans="6:9" ht="12.75" x14ac:dyDescent="0.2">
      <c r="F736" s="22"/>
      <c r="I736" s="22"/>
    </row>
    <row r="737" spans="6:9" ht="12.75" x14ac:dyDescent="0.2">
      <c r="F737" s="22"/>
      <c r="I737" s="22"/>
    </row>
    <row r="738" spans="6:9" ht="12.75" x14ac:dyDescent="0.2">
      <c r="F738" s="22"/>
      <c r="I738" s="22"/>
    </row>
    <row r="739" spans="6:9" ht="12.75" x14ac:dyDescent="0.2">
      <c r="F739" s="22"/>
      <c r="I739" s="22"/>
    </row>
    <row r="740" spans="6:9" ht="12.75" x14ac:dyDescent="0.2">
      <c r="F740" s="22"/>
      <c r="I740" s="22"/>
    </row>
    <row r="741" spans="6:9" ht="12.75" x14ac:dyDescent="0.2">
      <c r="F741" s="22"/>
      <c r="I741" s="22"/>
    </row>
    <row r="742" spans="6:9" ht="12.75" x14ac:dyDescent="0.2">
      <c r="F742" s="22"/>
      <c r="I742" s="22"/>
    </row>
    <row r="743" spans="6:9" ht="12.75" x14ac:dyDescent="0.2">
      <c r="F743" s="22"/>
      <c r="I743" s="22"/>
    </row>
    <row r="744" spans="6:9" ht="12.75" x14ac:dyDescent="0.2">
      <c r="F744" s="22"/>
      <c r="I744" s="22"/>
    </row>
    <row r="745" spans="6:9" ht="12.75" x14ac:dyDescent="0.2">
      <c r="F745" s="22"/>
      <c r="I745" s="22"/>
    </row>
    <row r="746" spans="6:9" ht="12.75" x14ac:dyDescent="0.2">
      <c r="F746" s="22"/>
      <c r="I746" s="22"/>
    </row>
    <row r="747" spans="6:9" ht="12.75" x14ac:dyDescent="0.2">
      <c r="F747" s="22"/>
      <c r="I747" s="22"/>
    </row>
    <row r="748" spans="6:9" ht="12.75" x14ac:dyDescent="0.2">
      <c r="F748" s="22"/>
      <c r="I748" s="22"/>
    </row>
    <row r="749" spans="6:9" ht="12.75" x14ac:dyDescent="0.2">
      <c r="F749" s="22"/>
      <c r="I749" s="22"/>
    </row>
    <row r="750" spans="6:9" ht="12.75" x14ac:dyDescent="0.2">
      <c r="F750" s="22"/>
      <c r="I750" s="22"/>
    </row>
    <row r="751" spans="6:9" ht="12.75" x14ac:dyDescent="0.2">
      <c r="F751" s="22"/>
      <c r="I751" s="22"/>
    </row>
    <row r="752" spans="6:9" ht="12.75" x14ac:dyDescent="0.2">
      <c r="F752" s="22"/>
      <c r="I752" s="22"/>
    </row>
    <row r="753" spans="6:9" ht="12.75" x14ac:dyDescent="0.2">
      <c r="F753" s="22"/>
      <c r="I753" s="22"/>
    </row>
    <row r="754" spans="6:9" ht="12.75" x14ac:dyDescent="0.2">
      <c r="F754" s="22"/>
      <c r="I754" s="22"/>
    </row>
    <row r="755" spans="6:9" ht="12.75" x14ac:dyDescent="0.2">
      <c r="F755" s="22"/>
      <c r="I755" s="22"/>
    </row>
    <row r="756" spans="6:9" ht="12.75" x14ac:dyDescent="0.2">
      <c r="F756" s="22"/>
      <c r="I756" s="22"/>
    </row>
    <row r="757" spans="6:9" ht="12.75" x14ac:dyDescent="0.2">
      <c r="F757" s="22"/>
      <c r="I757" s="22"/>
    </row>
    <row r="758" spans="6:9" ht="12.75" x14ac:dyDescent="0.2">
      <c r="F758" s="22"/>
      <c r="I758" s="22"/>
    </row>
    <row r="759" spans="6:9" ht="12.75" x14ac:dyDescent="0.2">
      <c r="F759" s="22"/>
      <c r="I759" s="22"/>
    </row>
    <row r="760" spans="6:9" ht="12.75" x14ac:dyDescent="0.2">
      <c r="F760" s="22"/>
      <c r="I760" s="22"/>
    </row>
    <row r="761" spans="6:9" ht="12.75" x14ac:dyDescent="0.2">
      <c r="F761" s="22"/>
      <c r="I761" s="22"/>
    </row>
    <row r="762" spans="6:9" ht="12.75" x14ac:dyDescent="0.2">
      <c r="F762" s="22"/>
      <c r="I762" s="22"/>
    </row>
    <row r="763" spans="6:9" ht="12.75" x14ac:dyDescent="0.2">
      <c r="F763" s="22"/>
      <c r="I763" s="22"/>
    </row>
    <row r="764" spans="6:9" ht="12.75" x14ac:dyDescent="0.2">
      <c r="F764" s="22"/>
      <c r="I764" s="22"/>
    </row>
    <row r="765" spans="6:9" ht="12.75" x14ac:dyDescent="0.2">
      <c r="F765" s="22"/>
      <c r="I765" s="22"/>
    </row>
    <row r="766" spans="6:9" ht="12.75" x14ac:dyDescent="0.2">
      <c r="F766" s="22"/>
      <c r="I766" s="22"/>
    </row>
    <row r="767" spans="6:9" ht="12.75" x14ac:dyDescent="0.2">
      <c r="F767" s="22"/>
      <c r="I767" s="22"/>
    </row>
    <row r="768" spans="6:9" ht="12.75" x14ac:dyDescent="0.2">
      <c r="F768" s="22"/>
      <c r="I768" s="22"/>
    </row>
    <row r="769" spans="6:9" ht="12.75" x14ac:dyDescent="0.2">
      <c r="F769" s="22"/>
      <c r="I769" s="22"/>
    </row>
    <row r="770" spans="6:9" ht="12.75" x14ac:dyDescent="0.2">
      <c r="F770" s="22"/>
      <c r="I770" s="22"/>
    </row>
    <row r="771" spans="6:9" ht="12.75" x14ac:dyDescent="0.2">
      <c r="F771" s="22"/>
      <c r="I771" s="22"/>
    </row>
    <row r="772" spans="6:9" ht="12.75" x14ac:dyDescent="0.2">
      <c r="F772" s="22"/>
      <c r="I772" s="22"/>
    </row>
    <row r="773" spans="6:9" ht="12.75" x14ac:dyDescent="0.2">
      <c r="F773" s="22"/>
      <c r="I773" s="22"/>
    </row>
    <row r="774" spans="6:9" ht="12.75" x14ac:dyDescent="0.2">
      <c r="F774" s="22"/>
      <c r="I774" s="22"/>
    </row>
    <row r="775" spans="6:9" ht="12.75" x14ac:dyDescent="0.2">
      <c r="F775" s="22"/>
      <c r="I775" s="22"/>
    </row>
    <row r="776" spans="6:9" ht="12.75" x14ac:dyDescent="0.2">
      <c r="F776" s="22"/>
      <c r="I776" s="22"/>
    </row>
    <row r="777" spans="6:9" ht="12.75" x14ac:dyDescent="0.2">
      <c r="F777" s="22"/>
      <c r="I777" s="22"/>
    </row>
    <row r="778" spans="6:9" ht="12.75" x14ac:dyDescent="0.2">
      <c r="F778" s="22"/>
      <c r="I778" s="22"/>
    </row>
    <row r="779" spans="6:9" ht="12.75" x14ac:dyDescent="0.2">
      <c r="F779" s="22"/>
      <c r="I779" s="22"/>
    </row>
    <row r="780" spans="6:9" ht="12.75" x14ac:dyDescent="0.2">
      <c r="F780" s="22"/>
      <c r="I780" s="22"/>
    </row>
    <row r="781" spans="6:9" ht="12.75" x14ac:dyDescent="0.2">
      <c r="F781" s="22"/>
      <c r="I781" s="22"/>
    </row>
    <row r="782" spans="6:9" ht="12.75" x14ac:dyDescent="0.2">
      <c r="F782" s="22"/>
      <c r="I782" s="22"/>
    </row>
    <row r="783" spans="6:9" ht="12.75" x14ac:dyDescent="0.2">
      <c r="F783" s="22"/>
      <c r="I783" s="22"/>
    </row>
    <row r="784" spans="6:9" ht="12.75" x14ac:dyDescent="0.2">
      <c r="F784" s="22"/>
      <c r="I784" s="22"/>
    </row>
    <row r="785" spans="6:9" ht="12.75" x14ac:dyDescent="0.2">
      <c r="F785" s="22"/>
      <c r="I785" s="22"/>
    </row>
    <row r="786" spans="6:9" ht="12.75" x14ac:dyDescent="0.2">
      <c r="F786" s="22"/>
      <c r="I786" s="22"/>
    </row>
    <row r="787" spans="6:9" ht="12.75" x14ac:dyDescent="0.2">
      <c r="F787" s="22"/>
      <c r="I787" s="22"/>
    </row>
    <row r="788" spans="6:9" ht="12.75" x14ac:dyDescent="0.2">
      <c r="F788" s="22"/>
      <c r="I788" s="22"/>
    </row>
    <row r="789" spans="6:9" ht="12.75" x14ac:dyDescent="0.2">
      <c r="F789" s="22"/>
      <c r="I789" s="22"/>
    </row>
    <row r="790" spans="6:9" ht="12.75" x14ac:dyDescent="0.2">
      <c r="F790" s="22"/>
      <c r="I790" s="22"/>
    </row>
    <row r="791" spans="6:9" ht="12.75" x14ac:dyDescent="0.2">
      <c r="F791" s="22"/>
      <c r="I791" s="22"/>
    </row>
    <row r="792" spans="6:9" ht="12.75" x14ac:dyDescent="0.2">
      <c r="F792" s="22"/>
      <c r="I792" s="22"/>
    </row>
    <row r="793" spans="6:9" ht="12.75" x14ac:dyDescent="0.2">
      <c r="F793" s="22"/>
      <c r="I793" s="22"/>
    </row>
    <row r="794" spans="6:9" ht="12.75" x14ac:dyDescent="0.2">
      <c r="F794" s="22"/>
      <c r="I794" s="22"/>
    </row>
    <row r="795" spans="6:9" ht="12.75" x14ac:dyDescent="0.2">
      <c r="F795" s="22"/>
      <c r="I795" s="22"/>
    </row>
    <row r="796" spans="6:9" ht="12.75" x14ac:dyDescent="0.2">
      <c r="F796" s="22"/>
      <c r="I796" s="22"/>
    </row>
    <row r="797" spans="6:9" ht="12.75" x14ac:dyDescent="0.2">
      <c r="F797" s="22"/>
      <c r="I797" s="22"/>
    </row>
    <row r="798" spans="6:9" ht="12.75" x14ac:dyDescent="0.2">
      <c r="F798" s="22"/>
      <c r="I798" s="22"/>
    </row>
    <row r="799" spans="6:9" ht="12.75" x14ac:dyDescent="0.2">
      <c r="F799" s="22"/>
      <c r="I799" s="22"/>
    </row>
    <row r="800" spans="6:9" ht="12.75" x14ac:dyDescent="0.2">
      <c r="F800" s="22"/>
      <c r="I800" s="22"/>
    </row>
    <row r="801" spans="6:9" ht="12.75" x14ac:dyDescent="0.2">
      <c r="F801" s="22"/>
      <c r="I801" s="22"/>
    </row>
    <row r="802" spans="6:9" ht="12.75" x14ac:dyDescent="0.2">
      <c r="F802" s="22"/>
      <c r="I802" s="22"/>
    </row>
    <row r="803" spans="6:9" ht="12.75" x14ac:dyDescent="0.2">
      <c r="F803" s="22"/>
      <c r="I803" s="22"/>
    </row>
    <row r="804" spans="6:9" ht="12.75" x14ac:dyDescent="0.2">
      <c r="F804" s="22"/>
      <c r="I804" s="22"/>
    </row>
    <row r="805" spans="6:9" ht="12.75" x14ac:dyDescent="0.2">
      <c r="F805" s="22"/>
      <c r="I805" s="22"/>
    </row>
    <row r="806" spans="6:9" ht="12.75" x14ac:dyDescent="0.2">
      <c r="F806" s="22"/>
      <c r="I806" s="22"/>
    </row>
    <row r="807" spans="6:9" ht="12.75" x14ac:dyDescent="0.2">
      <c r="F807" s="22"/>
      <c r="I807" s="22"/>
    </row>
    <row r="808" spans="6:9" ht="12.75" x14ac:dyDescent="0.2">
      <c r="F808" s="22"/>
      <c r="I808" s="22"/>
    </row>
    <row r="809" spans="6:9" ht="12.75" x14ac:dyDescent="0.2">
      <c r="F809" s="22"/>
      <c r="I809" s="22"/>
    </row>
    <row r="810" spans="6:9" ht="12.75" x14ac:dyDescent="0.2">
      <c r="F810" s="22"/>
      <c r="I810" s="22"/>
    </row>
    <row r="811" spans="6:9" ht="12.75" x14ac:dyDescent="0.2">
      <c r="F811" s="22"/>
      <c r="I811" s="22"/>
    </row>
    <row r="812" spans="6:9" ht="12.75" x14ac:dyDescent="0.2">
      <c r="F812" s="22"/>
      <c r="I812" s="22"/>
    </row>
    <row r="813" spans="6:9" ht="12.75" x14ac:dyDescent="0.2">
      <c r="F813" s="22"/>
      <c r="I813" s="22"/>
    </row>
    <row r="814" spans="6:9" ht="12.75" x14ac:dyDescent="0.2">
      <c r="F814" s="22"/>
      <c r="I814" s="22"/>
    </row>
    <row r="815" spans="6:9" ht="12.75" x14ac:dyDescent="0.2">
      <c r="F815" s="22"/>
      <c r="I815" s="22"/>
    </row>
    <row r="816" spans="6:9" ht="12.75" x14ac:dyDescent="0.2">
      <c r="F816" s="22"/>
      <c r="I816" s="22"/>
    </row>
    <row r="817" spans="6:9" ht="12.75" x14ac:dyDescent="0.2">
      <c r="F817" s="22"/>
      <c r="I817" s="22"/>
    </row>
    <row r="818" spans="6:9" ht="12.75" x14ac:dyDescent="0.2">
      <c r="F818" s="22"/>
      <c r="I818" s="22"/>
    </row>
    <row r="819" spans="6:9" ht="12.75" x14ac:dyDescent="0.2">
      <c r="F819" s="22"/>
      <c r="I819" s="22"/>
    </row>
    <row r="820" spans="6:9" ht="12.75" x14ac:dyDescent="0.2">
      <c r="F820" s="22"/>
      <c r="I820" s="22"/>
    </row>
    <row r="821" spans="6:9" ht="12.75" x14ac:dyDescent="0.2">
      <c r="F821" s="22"/>
      <c r="I821" s="22"/>
    </row>
    <row r="822" spans="6:9" ht="12.75" x14ac:dyDescent="0.2">
      <c r="F822" s="22"/>
      <c r="I822" s="22"/>
    </row>
    <row r="823" spans="6:9" ht="12.75" x14ac:dyDescent="0.2">
      <c r="F823" s="22"/>
      <c r="I823" s="22"/>
    </row>
    <row r="824" spans="6:9" ht="12.75" x14ac:dyDescent="0.2">
      <c r="F824" s="22"/>
      <c r="I824" s="22"/>
    </row>
    <row r="825" spans="6:9" ht="12.75" x14ac:dyDescent="0.2">
      <c r="F825" s="22"/>
      <c r="I825" s="22"/>
    </row>
    <row r="826" spans="6:9" ht="12.75" x14ac:dyDescent="0.2">
      <c r="F826" s="22"/>
      <c r="I826" s="22"/>
    </row>
    <row r="827" spans="6:9" ht="12.75" x14ac:dyDescent="0.2">
      <c r="F827" s="22"/>
      <c r="I827" s="22"/>
    </row>
    <row r="828" spans="6:9" ht="12.75" x14ac:dyDescent="0.2">
      <c r="F828" s="22"/>
      <c r="I828" s="22"/>
    </row>
    <row r="829" spans="6:9" ht="12.75" x14ac:dyDescent="0.2">
      <c r="F829" s="22"/>
      <c r="I829" s="22"/>
    </row>
    <row r="830" spans="6:9" ht="12.75" x14ac:dyDescent="0.2">
      <c r="F830" s="22"/>
      <c r="I830" s="22"/>
    </row>
    <row r="831" spans="6:9" ht="12.75" x14ac:dyDescent="0.2">
      <c r="F831" s="22"/>
      <c r="I831" s="22"/>
    </row>
    <row r="832" spans="6:9" ht="12.75" x14ac:dyDescent="0.2">
      <c r="F832" s="22"/>
      <c r="I832" s="22"/>
    </row>
    <row r="833" spans="6:9" ht="12.75" x14ac:dyDescent="0.2">
      <c r="F833" s="22"/>
      <c r="I833" s="22"/>
    </row>
    <row r="834" spans="6:9" ht="12.75" x14ac:dyDescent="0.2">
      <c r="F834" s="22"/>
      <c r="I834" s="22"/>
    </row>
    <row r="835" spans="6:9" ht="12.75" x14ac:dyDescent="0.2">
      <c r="F835" s="22"/>
      <c r="I835" s="22"/>
    </row>
    <row r="836" spans="6:9" ht="12.75" x14ac:dyDescent="0.2">
      <c r="F836" s="22"/>
      <c r="I836" s="22"/>
    </row>
    <row r="837" spans="6:9" ht="12.75" x14ac:dyDescent="0.2">
      <c r="F837" s="22"/>
      <c r="I837" s="22"/>
    </row>
    <row r="838" spans="6:9" ht="12.75" x14ac:dyDescent="0.2">
      <c r="F838" s="22"/>
      <c r="I838" s="22"/>
    </row>
    <row r="839" spans="6:9" ht="12.75" x14ac:dyDescent="0.2">
      <c r="F839" s="22"/>
      <c r="I839" s="22"/>
    </row>
    <row r="840" spans="6:9" ht="12.75" x14ac:dyDescent="0.2">
      <c r="F840" s="22"/>
      <c r="I840" s="22"/>
    </row>
    <row r="841" spans="6:9" ht="12.75" x14ac:dyDescent="0.2">
      <c r="F841" s="22"/>
      <c r="I841" s="22"/>
    </row>
    <row r="842" spans="6:9" ht="12.75" x14ac:dyDescent="0.2">
      <c r="F842" s="22"/>
      <c r="I842" s="22"/>
    </row>
    <row r="843" spans="6:9" ht="12.75" x14ac:dyDescent="0.2">
      <c r="F843" s="22"/>
      <c r="I843" s="22"/>
    </row>
    <row r="844" spans="6:9" ht="12.75" x14ac:dyDescent="0.2">
      <c r="F844" s="22"/>
      <c r="I844" s="22"/>
    </row>
    <row r="845" spans="6:9" ht="12.75" x14ac:dyDescent="0.2">
      <c r="F845" s="22"/>
      <c r="I845" s="22"/>
    </row>
    <row r="846" spans="6:9" ht="12.75" x14ac:dyDescent="0.2">
      <c r="F846" s="22"/>
      <c r="I846" s="22"/>
    </row>
    <row r="847" spans="6:9" ht="12.75" x14ac:dyDescent="0.2">
      <c r="F847" s="22"/>
      <c r="I847" s="22"/>
    </row>
    <row r="848" spans="6:9" ht="12.75" x14ac:dyDescent="0.2">
      <c r="F848" s="22"/>
      <c r="I848" s="22"/>
    </row>
    <row r="849" spans="6:9" ht="12.75" x14ac:dyDescent="0.2">
      <c r="F849" s="22"/>
      <c r="I849" s="22"/>
    </row>
    <row r="850" spans="6:9" ht="12.75" x14ac:dyDescent="0.2">
      <c r="F850" s="22"/>
      <c r="I850" s="22"/>
    </row>
    <row r="851" spans="6:9" ht="12.75" x14ac:dyDescent="0.2">
      <c r="F851" s="22"/>
      <c r="I851" s="22"/>
    </row>
    <row r="852" spans="6:9" ht="12.75" x14ac:dyDescent="0.2">
      <c r="F852" s="22"/>
      <c r="I852" s="22"/>
    </row>
    <row r="853" spans="6:9" ht="12.75" x14ac:dyDescent="0.2">
      <c r="F853" s="22"/>
      <c r="I853" s="22"/>
    </row>
    <row r="854" spans="6:9" ht="12.75" x14ac:dyDescent="0.2">
      <c r="F854" s="22"/>
      <c r="I854" s="22"/>
    </row>
    <row r="855" spans="6:9" ht="12.75" x14ac:dyDescent="0.2">
      <c r="F855" s="22"/>
      <c r="I855" s="22"/>
    </row>
    <row r="856" spans="6:9" ht="12.75" x14ac:dyDescent="0.2">
      <c r="F856" s="22"/>
      <c r="I856" s="22"/>
    </row>
    <row r="857" spans="6:9" ht="12.75" x14ac:dyDescent="0.2">
      <c r="F857" s="22"/>
      <c r="I857" s="22"/>
    </row>
    <row r="858" spans="6:9" ht="12.75" x14ac:dyDescent="0.2">
      <c r="F858" s="22"/>
      <c r="I858" s="22"/>
    </row>
    <row r="859" spans="6:9" ht="12.75" x14ac:dyDescent="0.2">
      <c r="F859" s="22"/>
      <c r="I859" s="22"/>
    </row>
    <row r="860" spans="6:9" ht="12.75" x14ac:dyDescent="0.2">
      <c r="F860" s="22"/>
      <c r="I860" s="22"/>
    </row>
    <row r="861" spans="6:9" ht="12.75" x14ac:dyDescent="0.2">
      <c r="F861" s="22"/>
      <c r="I861" s="22"/>
    </row>
    <row r="862" spans="6:9" ht="12.75" x14ac:dyDescent="0.2">
      <c r="F862" s="22"/>
      <c r="I862" s="22"/>
    </row>
    <row r="863" spans="6:9" ht="12.75" x14ac:dyDescent="0.2">
      <c r="F863" s="22"/>
      <c r="I863" s="22"/>
    </row>
    <row r="864" spans="6:9" ht="12.75" x14ac:dyDescent="0.2">
      <c r="F864" s="22"/>
      <c r="I864" s="22"/>
    </row>
    <row r="865" spans="6:9" ht="12.75" x14ac:dyDescent="0.2">
      <c r="F865" s="22"/>
      <c r="I865" s="22"/>
    </row>
    <row r="866" spans="6:9" ht="12.75" x14ac:dyDescent="0.2">
      <c r="F866" s="22"/>
      <c r="I866" s="22"/>
    </row>
    <row r="867" spans="6:9" ht="12.75" x14ac:dyDescent="0.2">
      <c r="F867" s="22"/>
      <c r="I867" s="22"/>
    </row>
    <row r="868" spans="6:9" ht="12.75" x14ac:dyDescent="0.2">
      <c r="F868" s="22"/>
      <c r="I868" s="22"/>
    </row>
    <row r="869" spans="6:9" ht="12.75" x14ac:dyDescent="0.2">
      <c r="F869" s="22"/>
      <c r="I869" s="22"/>
    </row>
    <row r="870" spans="6:9" ht="12.75" x14ac:dyDescent="0.2">
      <c r="F870" s="22"/>
      <c r="I870" s="22"/>
    </row>
    <row r="871" spans="6:9" ht="12.75" x14ac:dyDescent="0.2">
      <c r="F871" s="22"/>
      <c r="I871" s="22"/>
    </row>
    <row r="872" spans="6:9" ht="12.75" x14ac:dyDescent="0.2">
      <c r="F872" s="22"/>
      <c r="I872" s="22"/>
    </row>
    <row r="873" spans="6:9" ht="12.75" x14ac:dyDescent="0.2">
      <c r="F873" s="22"/>
      <c r="I873" s="22"/>
    </row>
    <row r="874" spans="6:9" ht="12.75" x14ac:dyDescent="0.2">
      <c r="F874" s="22"/>
      <c r="I874" s="22"/>
    </row>
    <row r="875" spans="6:9" ht="12.75" x14ac:dyDescent="0.2">
      <c r="F875" s="22"/>
      <c r="I875" s="22"/>
    </row>
    <row r="876" spans="6:9" ht="12.75" x14ac:dyDescent="0.2">
      <c r="F876" s="22"/>
      <c r="I876" s="22"/>
    </row>
    <row r="877" spans="6:9" ht="12.75" x14ac:dyDescent="0.2">
      <c r="F877" s="22"/>
      <c r="I877" s="22"/>
    </row>
    <row r="878" spans="6:9" ht="12.75" x14ac:dyDescent="0.2">
      <c r="F878" s="22"/>
      <c r="I878" s="22"/>
    </row>
    <row r="879" spans="6:9" ht="12.75" x14ac:dyDescent="0.2">
      <c r="F879" s="22"/>
      <c r="I879" s="22"/>
    </row>
    <row r="880" spans="6:9" ht="12.75" x14ac:dyDescent="0.2">
      <c r="F880" s="22"/>
      <c r="I880" s="22"/>
    </row>
    <row r="881" spans="6:9" ht="12.75" x14ac:dyDescent="0.2">
      <c r="F881" s="22"/>
      <c r="I881" s="22"/>
    </row>
    <row r="882" spans="6:9" ht="12.75" x14ac:dyDescent="0.2">
      <c r="F882" s="22"/>
      <c r="I882" s="22"/>
    </row>
    <row r="883" spans="6:9" ht="12.75" x14ac:dyDescent="0.2">
      <c r="F883" s="22"/>
      <c r="I883" s="22"/>
    </row>
    <row r="884" spans="6:9" ht="12.75" x14ac:dyDescent="0.2">
      <c r="F884" s="22"/>
      <c r="I884" s="22"/>
    </row>
    <row r="885" spans="6:9" ht="12.75" x14ac:dyDescent="0.2">
      <c r="F885" s="22"/>
      <c r="I885" s="22"/>
    </row>
    <row r="886" spans="6:9" ht="12.75" x14ac:dyDescent="0.2">
      <c r="F886" s="22"/>
      <c r="I886" s="22"/>
    </row>
    <row r="887" spans="6:9" ht="12.75" x14ac:dyDescent="0.2">
      <c r="F887" s="22"/>
      <c r="I887" s="22"/>
    </row>
    <row r="888" spans="6:9" ht="12.75" x14ac:dyDescent="0.2">
      <c r="F888" s="22"/>
      <c r="I888" s="22"/>
    </row>
    <row r="889" spans="6:9" ht="12.75" x14ac:dyDescent="0.2">
      <c r="F889" s="22"/>
      <c r="I889" s="22"/>
    </row>
    <row r="890" spans="6:9" ht="12.75" x14ac:dyDescent="0.2">
      <c r="F890" s="22"/>
      <c r="I890" s="22"/>
    </row>
    <row r="891" spans="6:9" ht="12.75" x14ac:dyDescent="0.2">
      <c r="F891" s="22"/>
      <c r="I891" s="22"/>
    </row>
    <row r="892" spans="6:9" ht="12.75" x14ac:dyDescent="0.2">
      <c r="F892" s="22"/>
      <c r="I892" s="22"/>
    </row>
    <row r="893" spans="6:9" ht="12.75" x14ac:dyDescent="0.2">
      <c r="F893" s="22"/>
      <c r="I893" s="22"/>
    </row>
    <row r="894" spans="6:9" ht="12.75" x14ac:dyDescent="0.2">
      <c r="F894" s="22"/>
      <c r="I894" s="22"/>
    </row>
    <row r="895" spans="6:9" ht="12.75" x14ac:dyDescent="0.2">
      <c r="F895" s="22"/>
      <c r="I895" s="22"/>
    </row>
    <row r="896" spans="6:9" ht="12.75" x14ac:dyDescent="0.2">
      <c r="F896" s="22"/>
      <c r="I896" s="22"/>
    </row>
    <row r="897" spans="6:9" ht="12.75" x14ac:dyDescent="0.2">
      <c r="F897" s="22"/>
      <c r="I897" s="22"/>
    </row>
    <row r="898" spans="6:9" ht="12.75" x14ac:dyDescent="0.2">
      <c r="F898" s="22"/>
      <c r="I898" s="22"/>
    </row>
    <row r="899" spans="6:9" ht="12.75" x14ac:dyDescent="0.2">
      <c r="F899" s="22"/>
      <c r="I899" s="22"/>
    </row>
    <row r="900" spans="6:9" ht="12.75" x14ac:dyDescent="0.2">
      <c r="F900" s="22"/>
      <c r="I900" s="22"/>
    </row>
    <row r="901" spans="6:9" ht="12.75" x14ac:dyDescent="0.2">
      <c r="F901" s="22"/>
      <c r="I901" s="22"/>
    </row>
    <row r="902" spans="6:9" ht="12.75" x14ac:dyDescent="0.2">
      <c r="F902" s="22"/>
      <c r="I902" s="22"/>
    </row>
    <row r="903" spans="6:9" ht="12.75" x14ac:dyDescent="0.2">
      <c r="F903" s="22"/>
      <c r="I903" s="22"/>
    </row>
    <row r="904" spans="6:9" ht="12.75" x14ac:dyDescent="0.2">
      <c r="F904" s="22"/>
      <c r="I904" s="22"/>
    </row>
    <row r="905" spans="6:9" ht="12.75" x14ac:dyDescent="0.2">
      <c r="F905" s="22"/>
      <c r="I905" s="22"/>
    </row>
    <row r="906" spans="6:9" ht="12.75" x14ac:dyDescent="0.2">
      <c r="F906" s="22"/>
      <c r="I906" s="22"/>
    </row>
    <row r="907" spans="6:9" ht="12.75" x14ac:dyDescent="0.2">
      <c r="F907" s="22"/>
      <c r="I907" s="22"/>
    </row>
    <row r="908" spans="6:9" ht="12.75" x14ac:dyDescent="0.2">
      <c r="F908" s="22"/>
      <c r="I908" s="22"/>
    </row>
    <row r="909" spans="6:9" ht="12.75" x14ac:dyDescent="0.2">
      <c r="F909" s="22"/>
      <c r="I909" s="22"/>
    </row>
    <row r="910" spans="6:9" ht="12.75" x14ac:dyDescent="0.2">
      <c r="F910" s="22"/>
      <c r="I910" s="22"/>
    </row>
    <row r="911" spans="6:9" ht="12.75" x14ac:dyDescent="0.2">
      <c r="F911" s="22"/>
      <c r="I911" s="22"/>
    </row>
    <row r="912" spans="6:9" ht="12.75" x14ac:dyDescent="0.2">
      <c r="F912" s="22"/>
      <c r="I912" s="22"/>
    </row>
    <row r="913" spans="6:9" ht="12.75" x14ac:dyDescent="0.2">
      <c r="F913" s="22"/>
      <c r="I913" s="22"/>
    </row>
    <row r="914" spans="6:9" ht="12.75" x14ac:dyDescent="0.2">
      <c r="F914" s="22"/>
      <c r="I914" s="22"/>
    </row>
    <row r="915" spans="6:9" ht="12.75" x14ac:dyDescent="0.2">
      <c r="F915" s="22"/>
      <c r="I915" s="22"/>
    </row>
    <row r="916" spans="6:9" ht="12.75" x14ac:dyDescent="0.2">
      <c r="F916" s="22"/>
      <c r="I916" s="22"/>
    </row>
    <row r="917" spans="6:9" ht="12.75" x14ac:dyDescent="0.2">
      <c r="F917" s="22"/>
      <c r="I917" s="22"/>
    </row>
    <row r="918" spans="6:9" ht="12.75" x14ac:dyDescent="0.2">
      <c r="F918" s="22"/>
      <c r="I918" s="22"/>
    </row>
    <row r="919" spans="6:9" ht="12.75" x14ac:dyDescent="0.2">
      <c r="F919" s="22"/>
      <c r="I919" s="22"/>
    </row>
    <row r="920" spans="6:9" ht="12.75" x14ac:dyDescent="0.2">
      <c r="F920" s="22"/>
      <c r="I920" s="22"/>
    </row>
    <row r="921" spans="6:9" ht="12.75" x14ac:dyDescent="0.2">
      <c r="F921" s="22"/>
      <c r="I921" s="22"/>
    </row>
    <row r="922" spans="6:9" ht="12.75" x14ac:dyDescent="0.2">
      <c r="F922" s="22"/>
      <c r="I922" s="22"/>
    </row>
    <row r="923" spans="6:9" ht="12.75" x14ac:dyDescent="0.2">
      <c r="F923" s="22"/>
      <c r="I923" s="22"/>
    </row>
    <row r="924" spans="6:9" ht="12.75" x14ac:dyDescent="0.2">
      <c r="F924" s="22"/>
      <c r="I924" s="22"/>
    </row>
    <row r="925" spans="6:9" ht="12.75" x14ac:dyDescent="0.2">
      <c r="F925" s="22"/>
      <c r="I925" s="22"/>
    </row>
    <row r="926" spans="6:9" ht="12.75" x14ac:dyDescent="0.2">
      <c r="F926" s="22"/>
      <c r="I926" s="22"/>
    </row>
    <row r="927" spans="6:9" ht="12.75" x14ac:dyDescent="0.2">
      <c r="F927" s="22"/>
      <c r="I927" s="22"/>
    </row>
    <row r="928" spans="6:9" ht="12.75" x14ac:dyDescent="0.2">
      <c r="F928" s="22"/>
      <c r="I928" s="22"/>
    </row>
    <row r="929" spans="6:9" ht="12.75" x14ac:dyDescent="0.2">
      <c r="F929" s="22"/>
      <c r="I929" s="22"/>
    </row>
    <row r="930" spans="6:9" ht="12.75" x14ac:dyDescent="0.2">
      <c r="F930" s="22"/>
      <c r="I930" s="22"/>
    </row>
    <row r="931" spans="6:9" ht="12.75" x14ac:dyDescent="0.2">
      <c r="F931" s="22"/>
      <c r="I931" s="22"/>
    </row>
    <row r="932" spans="6:9" ht="12.75" x14ac:dyDescent="0.2">
      <c r="F932" s="22"/>
      <c r="I932" s="22"/>
    </row>
    <row r="933" spans="6:9" ht="12.75" x14ac:dyDescent="0.2">
      <c r="F933" s="22"/>
      <c r="I933" s="22"/>
    </row>
    <row r="934" spans="6:9" ht="12.75" x14ac:dyDescent="0.2">
      <c r="F934" s="22"/>
      <c r="I934" s="22"/>
    </row>
    <row r="935" spans="6:9" ht="12.75" x14ac:dyDescent="0.2">
      <c r="F935" s="22"/>
      <c r="I935" s="22"/>
    </row>
    <row r="936" spans="6:9" ht="12.75" x14ac:dyDescent="0.2">
      <c r="F936" s="22"/>
      <c r="I936" s="22"/>
    </row>
    <row r="937" spans="6:9" ht="12.75" x14ac:dyDescent="0.2">
      <c r="F937" s="22"/>
      <c r="I937" s="22"/>
    </row>
    <row r="938" spans="6:9" ht="12.75" x14ac:dyDescent="0.2">
      <c r="F938" s="22"/>
      <c r="I938" s="22"/>
    </row>
    <row r="939" spans="6:9" ht="12.75" x14ac:dyDescent="0.2">
      <c r="F939" s="22"/>
      <c r="I939" s="22"/>
    </row>
    <row r="940" spans="6:9" ht="12.75" x14ac:dyDescent="0.2">
      <c r="F940" s="22"/>
      <c r="I940" s="22"/>
    </row>
    <row r="941" spans="6:9" ht="12.75" x14ac:dyDescent="0.2">
      <c r="F941" s="22"/>
      <c r="I941" s="22"/>
    </row>
    <row r="942" spans="6:9" ht="12.75" x14ac:dyDescent="0.2">
      <c r="F942" s="22"/>
      <c r="I942" s="22"/>
    </row>
    <row r="943" spans="6:9" ht="12.75" x14ac:dyDescent="0.2">
      <c r="F943" s="22"/>
      <c r="I943" s="22"/>
    </row>
    <row r="944" spans="6:9" ht="12.75" x14ac:dyDescent="0.2">
      <c r="F944" s="22"/>
      <c r="I944" s="22"/>
    </row>
    <row r="945" spans="6:9" ht="12.75" x14ac:dyDescent="0.2">
      <c r="F945" s="22"/>
      <c r="I945" s="22"/>
    </row>
    <row r="946" spans="6:9" ht="12.75" x14ac:dyDescent="0.2">
      <c r="F946" s="22"/>
      <c r="I946" s="22"/>
    </row>
    <row r="947" spans="6:9" ht="12.75" x14ac:dyDescent="0.2">
      <c r="F947" s="22"/>
      <c r="I947" s="22"/>
    </row>
    <row r="948" spans="6:9" ht="12.75" x14ac:dyDescent="0.2">
      <c r="F948" s="22"/>
      <c r="I948" s="22"/>
    </row>
    <row r="949" spans="6:9" ht="12.75" x14ac:dyDescent="0.2">
      <c r="F949" s="22"/>
      <c r="I949" s="22"/>
    </row>
    <row r="950" spans="6:9" ht="12.75" x14ac:dyDescent="0.2">
      <c r="F950" s="22"/>
      <c r="I950" s="22"/>
    </row>
    <row r="951" spans="6:9" ht="12.75" x14ac:dyDescent="0.2">
      <c r="F951" s="22"/>
      <c r="I951" s="22"/>
    </row>
    <row r="952" spans="6:9" ht="12.75" x14ac:dyDescent="0.2">
      <c r="F952" s="22"/>
      <c r="I952" s="22"/>
    </row>
    <row r="953" spans="6:9" ht="12.75" x14ac:dyDescent="0.2">
      <c r="F953" s="22"/>
      <c r="I953" s="22"/>
    </row>
    <row r="954" spans="6:9" ht="12.75" x14ac:dyDescent="0.2">
      <c r="F954" s="22"/>
      <c r="I954" s="22"/>
    </row>
    <row r="955" spans="6:9" ht="12.75" x14ac:dyDescent="0.2">
      <c r="F955" s="22"/>
      <c r="I955" s="22"/>
    </row>
    <row r="956" spans="6:9" ht="12.75" x14ac:dyDescent="0.2">
      <c r="F956" s="22"/>
      <c r="I956" s="22"/>
    </row>
    <row r="957" spans="6:9" ht="12.75" x14ac:dyDescent="0.2">
      <c r="F957" s="22"/>
      <c r="I957" s="22"/>
    </row>
    <row r="958" spans="6:9" ht="12.75" x14ac:dyDescent="0.2">
      <c r="F958" s="22"/>
      <c r="I958" s="22"/>
    </row>
    <row r="959" spans="6:9" ht="12.75" x14ac:dyDescent="0.2">
      <c r="F959" s="22"/>
      <c r="I959" s="22"/>
    </row>
    <row r="960" spans="6:9" ht="12.75" x14ac:dyDescent="0.2">
      <c r="F960" s="22"/>
      <c r="I960" s="22"/>
    </row>
    <row r="961" spans="6:9" ht="12.75" x14ac:dyDescent="0.2">
      <c r="F961" s="22"/>
      <c r="I961" s="22"/>
    </row>
    <row r="962" spans="6:9" ht="12.75" x14ac:dyDescent="0.2">
      <c r="F962" s="22"/>
      <c r="I962" s="22"/>
    </row>
    <row r="963" spans="6:9" ht="12.75" x14ac:dyDescent="0.2">
      <c r="F963" s="22"/>
      <c r="I963" s="22"/>
    </row>
    <row r="964" spans="6:9" ht="12.75" x14ac:dyDescent="0.2">
      <c r="F964" s="22"/>
      <c r="I964" s="22"/>
    </row>
    <row r="965" spans="6:9" ht="12.75" x14ac:dyDescent="0.2">
      <c r="F965" s="22"/>
      <c r="I965" s="22"/>
    </row>
    <row r="966" spans="6:9" ht="12.75" x14ac:dyDescent="0.2">
      <c r="F966" s="22"/>
      <c r="I966" s="22"/>
    </row>
    <row r="967" spans="6:9" ht="12.75" x14ac:dyDescent="0.2">
      <c r="F967" s="22"/>
      <c r="I967" s="22"/>
    </row>
    <row r="968" spans="6:9" ht="12.75" x14ac:dyDescent="0.2">
      <c r="F968" s="22"/>
      <c r="I968" s="22"/>
    </row>
    <row r="969" spans="6:9" ht="12.75" x14ac:dyDescent="0.2">
      <c r="F969" s="22"/>
      <c r="I969" s="22"/>
    </row>
    <row r="970" spans="6:9" ht="12.75" x14ac:dyDescent="0.2">
      <c r="F970" s="22"/>
      <c r="I970" s="22"/>
    </row>
    <row r="971" spans="6:9" ht="12.75" x14ac:dyDescent="0.2">
      <c r="F971" s="22"/>
      <c r="I971" s="22"/>
    </row>
    <row r="972" spans="6:9" ht="12.75" x14ac:dyDescent="0.2">
      <c r="F972" s="22"/>
      <c r="I972" s="22"/>
    </row>
    <row r="973" spans="6:9" ht="12.75" x14ac:dyDescent="0.2">
      <c r="F973" s="22"/>
      <c r="I973" s="22"/>
    </row>
    <row r="974" spans="6:9" ht="12.75" x14ac:dyDescent="0.2">
      <c r="F974" s="22"/>
      <c r="I974" s="22"/>
    </row>
    <row r="975" spans="6:9" ht="12.75" x14ac:dyDescent="0.2">
      <c r="F975" s="22"/>
      <c r="I975" s="22"/>
    </row>
    <row r="976" spans="6:9" ht="12.75" x14ac:dyDescent="0.2">
      <c r="F976" s="22"/>
      <c r="I976" s="22"/>
    </row>
    <row r="977" spans="6:9" ht="12.75" x14ac:dyDescent="0.2">
      <c r="F977" s="22"/>
      <c r="I977" s="22"/>
    </row>
    <row r="978" spans="6:9" ht="12.75" x14ac:dyDescent="0.2">
      <c r="F978" s="22"/>
      <c r="I978" s="22"/>
    </row>
  </sheetData>
  <hyperlinks>
    <hyperlink ref="E2" r:id="rId1" xr:uid="{00000000-0004-0000-0500-000000000000}"/>
    <hyperlink ref="H2" r:id="rId2" xr:uid="{00000000-0004-0000-0500-000001000000}"/>
    <hyperlink ref="E3" r:id="rId3" xr:uid="{00000000-0004-0000-0500-000002000000}"/>
    <hyperlink ref="H3" r:id="rId4" xr:uid="{00000000-0004-0000-0500-000003000000}"/>
    <hyperlink ref="E4" r:id="rId5" xr:uid="{00000000-0004-0000-0500-000004000000}"/>
    <hyperlink ref="H4" r:id="rId6" xr:uid="{00000000-0004-0000-0500-000005000000}"/>
    <hyperlink ref="E5" r:id="rId7" xr:uid="{00000000-0004-0000-0500-000006000000}"/>
    <hyperlink ref="H5" r:id="rId8" xr:uid="{00000000-0004-0000-0500-000007000000}"/>
    <hyperlink ref="E6" r:id="rId9" xr:uid="{00000000-0004-0000-0500-000008000000}"/>
    <hyperlink ref="H6" r:id="rId10" xr:uid="{00000000-0004-0000-0500-000009000000}"/>
    <hyperlink ref="E7" r:id="rId11" xr:uid="{00000000-0004-0000-0500-00000A000000}"/>
    <hyperlink ref="H7" r:id="rId12" xr:uid="{00000000-0004-0000-0500-00000B000000}"/>
    <hyperlink ref="E8" r:id="rId13" xr:uid="{00000000-0004-0000-0500-00000C000000}"/>
    <hyperlink ref="H8" r:id="rId14" xr:uid="{00000000-0004-0000-0500-00000D000000}"/>
    <hyperlink ref="E9" r:id="rId15" xr:uid="{00000000-0004-0000-0500-00000E000000}"/>
    <hyperlink ref="H9" r:id="rId16" xr:uid="{00000000-0004-0000-0500-00000F000000}"/>
    <hyperlink ref="E10" r:id="rId17" xr:uid="{00000000-0004-0000-0500-000010000000}"/>
    <hyperlink ref="H10" r:id="rId18" xr:uid="{00000000-0004-0000-0500-000011000000}"/>
    <hyperlink ref="E11" r:id="rId19" xr:uid="{00000000-0004-0000-0500-000012000000}"/>
    <hyperlink ref="H11" r:id="rId20" xr:uid="{00000000-0004-0000-0500-000013000000}"/>
    <hyperlink ref="E12" r:id="rId21" xr:uid="{00000000-0004-0000-0500-000014000000}"/>
    <hyperlink ref="H12" r:id="rId22" xr:uid="{00000000-0004-0000-0500-000015000000}"/>
    <hyperlink ref="E13" r:id="rId23" xr:uid="{00000000-0004-0000-0500-000016000000}"/>
    <hyperlink ref="H13" r:id="rId24" xr:uid="{00000000-0004-0000-0500-000017000000}"/>
    <hyperlink ref="E14" r:id="rId25" xr:uid="{00000000-0004-0000-0500-000018000000}"/>
    <hyperlink ref="H14" r:id="rId26" xr:uid="{00000000-0004-0000-0500-000019000000}"/>
    <hyperlink ref="E15" r:id="rId27" xr:uid="{00000000-0004-0000-0500-00001A000000}"/>
    <hyperlink ref="H15" r:id="rId28" xr:uid="{00000000-0004-0000-0500-00001B000000}"/>
    <hyperlink ref="E16" r:id="rId29" xr:uid="{00000000-0004-0000-0500-00001C000000}"/>
    <hyperlink ref="H16" r:id="rId30" xr:uid="{00000000-0004-0000-0500-00001D000000}"/>
    <hyperlink ref="E17" r:id="rId31" xr:uid="{00000000-0004-0000-0500-00001E000000}"/>
    <hyperlink ref="H17" r:id="rId32" xr:uid="{00000000-0004-0000-0500-00001F000000}"/>
    <hyperlink ref="E18" r:id="rId33" xr:uid="{00000000-0004-0000-0500-000020000000}"/>
    <hyperlink ref="H18" r:id="rId34" xr:uid="{00000000-0004-0000-0500-000021000000}"/>
    <hyperlink ref="E19" r:id="rId35" xr:uid="{00000000-0004-0000-0500-000022000000}"/>
    <hyperlink ref="H19" r:id="rId36" xr:uid="{00000000-0004-0000-0500-000023000000}"/>
    <hyperlink ref="E20" r:id="rId37" xr:uid="{00000000-0004-0000-0500-000024000000}"/>
    <hyperlink ref="H20" r:id="rId38" xr:uid="{00000000-0004-0000-0500-000025000000}"/>
    <hyperlink ref="E21" r:id="rId39" xr:uid="{00000000-0004-0000-0500-000026000000}"/>
    <hyperlink ref="H21" r:id="rId40" xr:uid="{00000000-0004-0000-0500-000027000000}"/>
    <hyperlink ref="E22" r:id="rId41" xr:uid="{00000000-0004-0000-0500-000028000000}"/>
    <hyperlink ref="H22" r:id="rId42" xr:uid="{00000000-0004-0000-0500-000029000000}"/>
    <hyperlink ref="E23" r:id="rId43" xr:uid="{00000000-0004-0000-0500-00002A000000}"/>
    <hyperlink ref="H23" r:id="rId44" xr:uid="{00000000-0004-0000-0500-00002B000000}"/>
    <hyperlink ref="E24" r:id="rId45" xr:uid="{00000000-0004-0000-0500-00002C000000}"/>
    <hyperlink ref="H24" r:id="rId46" xr:uid="{00000000-0004-0000-0500-00002D000000}"/>
    <hyperlink ref="E25" r:id="rId47" xr:uid="{00000000-0004-0000-0500-00002E000000}"/>
    <hyperlink ref="H25" r:id="rId48" xr:uid="{00000000-0004-0000-0500-00002F000000}"/>
    <hyperlink ref="E26" r:id="rId49" xr:uid="{00000000-0004-0000-0500-000030000000}"/>
    <hyperlink ref="H26" r:id="rId50" xr:uid="{00000000-0004-0000-0500-000031000000}"/>
    <hyperlink ref="E27" r:id="rId51" xr:uid="{00000000-0004-0000-0500-000032000000}"/>
    <hyperlink ref="H27" r:id="rId52" xr:uid="{00000000-0004-0000-0500-000033000000}"/>
    <hyperlink ref="E28" r:id="rId53" xr:uid="{00000000-0004-0000-0500-000034000000}"/>
    <hyperlink ref="H28" r:id="rId54" xr:uid="{00000000-0004-0000-0500-000035000000}"/>
    <hyperlink ref="E29" r:id="rId55" xr:uid="{00000000-0004-0000-0500-000036000000}"/>
    <hyperlink ref="H29" r:id="rId56" xr:uid="{00000000-0004-0000-0500-000037000000}"/>
    <hyperlink ref="E30" r:id="rId57" xr:uid="{00000000-0004-0000-0500-000038000000}"/>
    <hyperlink ref="H30" r:id="rId58" xr:uid="{00000000-0004-0000-0500-000039000000}"/>
    <hyperlink ref="E31" r:id="rId59" xr:uid="{00000000-0004-0000-0500-00003A000000}"/>
    <hyperlink ref="H31" r:id="rId60" xr:uid="{00000000-0004-0000-0500-00003B000000}"/>
    <hyperlink ref="E32" r:id="rId61" xr:uid="{00000000-0004-0000-0500-00003C000000}"/>
    <hyperlink ref="H32" r:id="rId62" xr:uid="{00000000-0004-0000-0500-00003D000000}"/>
    <hyperlink ref="E33" r:id="rId63" xr:uid="{00000000-0004-0000-0500-00003E000000}"/>
    <hyperlink ref="H33" r:id="rId64" xr:uid="{00000000-0004-0000-0500-00003F000000}"/>
    <hyperlink ref="E34" r:id="rId65" xr:uid="{00000000-0004-0000-0500-000040000000}"/>
    <hyperlink ref="H34" r:id="rId66" xr:uid="{00000000-0004-0000-0500-000041000000}"/>
    <hyperlink ref="E35" r:id="rId67" xr:uid="{00000000-0004-0000-0500-000042000000}"/>
    <hyperlink ref="H35" r:id="rId68" xr:uid="{00000000-0004-0000-0500-000043000000}"/>
    <hyperlink ref="E36" r:id="rId69" xr:uid="{00000000-0004-0000-0500-000044000000}"/>
    <hyperlink ref="H36" r:id="rId70" xr:uid="{00000000-0004-0000-0500-000045000000}"/>
    <hyperlink ref="E37" r:id="rId71" xr:uid="{00000000-0004-0000-0500-000046000000}"/>
    <hyperlink ref="H37" r:id="rId72" xr:uid="{00000000-0004-0000-0500-000047000000}"/>
    <hyperlink ref="E38" r:id="rId73" xr:uid="{00000000-0004-0000-0500-000048000000}"/>
    <hyperlink ref="H38" r:id="rId74" xr:uid="{00000000-0004-0000-0500-000049000000}"/>
    <hyperlink ref="E39" r:id="rId75" xr:uid="{00000000-0004-0000-0500-00004A000000}"/>
    <hyperlink ref="H39" r:id="rId76" xr:uid="{00000000-0004-0000-0500-00004B000000}"/>
    <hyperlink ref="E40" r:id="rId77" xr:uid="{00000000-0004-0000-0500-00004C000000}"/>
    <hyperlink ref="H40" r:id="rId78" xr:uid="{00000000-0004-0000-0500-00004D000000}"/>
    <hyperlink ref="E41" r:id="rId79" xr:uid="{00000000-0004-0000-0500-00004E000000}"/>
    <hyperlink ref="H41" r:id="rId80" xr:uid="{00000000-0004-0000-0500-00004F000000}"/>
    <hyperlink ref="E42" r:id="rId81" xr:uid="{00000000-0004-0000-0500-000050000000}"/>
    <hyperlink ref="H42" r:id="rId82" xr:uid="{00000000-0004-0000-0500-000051000000}"/>
    <hyperlink ref="E43" r:id="rId83" xr:uid="{00000000-0004-0000-0500-000052000000}"/>
    <hyperlink ref="H43" r:id="rId84" xr:uid="{00000000-0004-0000-0500-000053000000}"/>
    <hyperlink ref="E44" r:id="rId85" xr:uid="{00000000-0004-0000-0500-000054000000}"/>
    <hyperlink ref="H44" r:id="rId86" xr:uid="{00000000-0004-0000-0500-000055000000}"/>
    <hyperlink ref="E45" r:id="rId87" xr:uid="{00000000-0004-0000-0500-000056000000}"/>
    <hyperlink ref="H45" r:id="rId88" xr:uid="{00000000-0004-0000-0500-000057000000}"/>
    <hyperlink ref="E46" r:id="rId89" xr:uid="{00000000-0004-0000-0500-000058000000}"/>
    <hyperlink ref="H46" r:id="rId90" xr:uid="{00000000-0004-0000-0500-000059000000}"/>
    <hyperlink ref="E47" r:id="rId91" xr:uid="{00000000-0004-0000-0500-00005A000000}"/>
    <hyperlink ref="H47" r:id="rId92" xr:uid="{00000000-0004-0000-0500-00005B000000}"/>
    <hyperlink ref="E48" r:id="rId93" xr:uid="{00000000-0004-0000-0500-00005C000000}"/>
    <hyperlink ref="H48" r:id="rId94" xr:uid="{00000000-0004-0000-0500-00005D000000}"/>
    <hyperlink ref="E49" r:id="rId95" xr:uid="{00000000-0004-0000-0500-00005E000000}"/>
    <hyperlink ref="H49" r:id="rId96" xr:uid="{00000000-0004-0000-0500-00005F000000}"/>
  </hyperlinks>
  <pageMargins left="0.7" right="0.7" top="0.75" bottom="0.75" header="0.3" footer="0.3"/>
  <pageSetup orientation="portrait" r:id="rId9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sheetData>
    <row r="1" spans="1:30" x14ac:dyDescent="0.2">
      <c r="A1" s="2" t="s">
        <v>393</v>
      </c>
      <c r="B1" s="2" t="s">
        <v>643</v>
      </c>
      <c r="C1" s="2" t="s">
        <v>644</v>
      </c>
      <c r="D1" s="2" t="s">
        <v>645</v>
      </c>
      <c r="E1" s="2" t="s">
        <v>646</v>
      </c>
      <c r="F1" s="2" t="s">
        <v>397</v>
      </c>
      <c r="G1" s="2" t="s">
        <v>2</v>
      </c>
      <c r="H1" s="2" t="s">
        <v>647</v>
      </c>
      <c r="I1" s="22"/>
      <c r="J1" s="2"/>
      <c r="K1" s="2"/>
      <c r="L1" s="27"/>
      <c r="M1" s="2"/>
      <c r="N1" s="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">
      <c r="A2" s="22" t="s">
        <v>648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7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">
      <c r="A3" s="11" t="s">
        <v>38</v>
      </c>
      <c r="B3" s="22" t="str">
        <f t="shared" ref="B3:B50" si="0">IF(D3="same",CONCATENATE(PROPER(G3)," ","1.jpg"),IF(D3="different",CONCATENATE(PROPER(G3)," ","2.jpg")))</f>
        <v>Boy 1.jpg</v>
      </c>
      <c r="C3" s="22" t="str">
        <f>masterlist!D2</f>
        <v>Gutt.mp4</v>
      </c>
      <c r="D3" s="22" t="s">
        <v>649</v>
      </c>
      <c r="E3" s="22" t="s">
        <v>649</v>
      </c>
      <c r="F3" s="22" t="s">
        <v>650</v>
      </c>
      <c r="G3" s="22" t="str">
        <f>masterlist!C2</f>
        <v>boy</v>
      </c>
      <c r="H3" s="22">
        <v>1</v>
      </c>
      <c r="I3" s="22" t="s">
        <v>651</v>
      </c>
      <c r="J3" s="22"/>
      <c r="K3" s="22"/>
      <c r="L3" s="7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">
      <c r="A4" s="11" t="s">
        <v>38</v>
      </c>
      <c r="B4" s="22" t="str">
        <f t="shared" si="0"/>
        <v>Children 1.jpg</v>
      </c>
      <c r="C4" s="22" t="str">
        <f>masterlist!D3</f>
        <v>Barn.mp4</v>
      </c>
      <c r="D4" s="22" t="s">
        <v>649</v>
      </c>
      <c r="E4" s="22" t="s">
        <v>649</v>
      </c>
      <c r="F4" s="22" t="s">
        <v>650</v>
      </c>
      <c r="G4" s="22" t="str">
        <f>masterlist!C3</f>
        <v>children</v>
      </c>
      <c r="H4" s="22">
        <v>2</v>
      </c>
      <c r="I4" s="22" t="s">
        <v>651</v>
      </c>
      <c r="J4" s="22"/>
      <c r="K4" s="22"/>
      <c r="L4" s="7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">
      <c r="A5" s="11" t="s">
        <v>38</v>
      </c>
      <c r="B5" s="22" t="str">
        <f t="shared" si="0"/>
        <v>Eagle 1.jpg</v>
      </c>
      <c r="C5" s="22" t="str">
        <f>masterlist!D4</f>
        <v>Ørn.mp4</v>
      </c>
      <c r="D5" s="22" t="s">
        <v>649</v>
      </c>
      <c r="E5" s="22" t="s">
        <v>649</v>
      </c>
      <c r="F5" s="22" t="s">
        <v>650</v>
      </c>
      <c r="G5" s="22" t="str">
        <f>masterlist!C4</f>
        <v>eagle</v>
      </c>
      <c r="H5" s="22">
        <v>3</v>
      </c>
      <c r="I5" s="22" t="s">
        <v>651</v>
      </c>
      <c r="J5" s="22"/>
      <c r="K5" s="22"/>
      <c r="L5" s="7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">
      <c r="A6" s="11" t="s">
        <v>38</v>
      </c>
      <c r="B6" s="22" t="str">
        <f t="shared" si="0"/>
        <v>Family 1.jpg</v>
      </c>
      <c r="C6" s="22" t="str">
        <f>masterlist!D5</f>
        <v>Familie.mp4</v>
      </c>
      <c r="D6" s="22" t="s">
        <v>649</v>
      </c>
      <c r="E6" s="22" t="s">
        <v>649</v>
      </c>
      <c r="F6" s="22" t="s">
        <v>650</v>
      </c>
      <c r="G6" s="22" t="str">
        <f>masterlist!C5</f>
        <v>family</v>
      </c>
      <c r="H6" s="22">
        <v>4</v>
      </c>
      <c r="I6" s="22" t="s">
        <v>651</v>
      </c>
      <c r="J6" s="22"/>
      <c r="K6" s="22"/>
      <c r="L6" s="7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">
      <c r="A7" s="11" t="s">
        <v>38</v>
      </c>
      <c r="B7" s="22" t="str">
        <f t="shared" si="0"/>
        <v>Breathe 1.jpg</v>
      </c>
      <c r="C7" s="22" t="str">
        <f>masterlist!D6</f>
        <v>Puste.mp4</v>
      </c>
      <c r="D7" s="22" t="s">
        <v>649</v>
      </c>
      <c r="E7" s="22" t="s">
        <v>649</v>
      </c>
      <c r="F7" s="22" t="s">
        <v>650</v>
      </c>
      <c r="G7" s="22" t="str">
        <f>masterlist!C6</f>
        <v>breathe</v>
      </c>
      <c r="H7" s="22">
        <v>5</v>
      </c>
      <c r="I7" s="22" t="s">
        <v>651</v>
      </c>
      <c r="J7" s="22"/>
      <c r="K7" s="22"/>
      <c r="L7" s="7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">
      <c r="A8" s="11" t="s">
        <v>38</v>
      </c>
      <c r="B8" s="22" t="str">
        <f t="shared" si="0"/>
        <v>Cry 1.jpg</v>
      </c>
      <c r="C8" s="22" t="str">
        <f>masterlist!D7</f>
        <v>Gråte.mp4</v>
      </c>
      <c r="D8" s="22" t="s">
        <v>649</v>
      </c>
      <c r="E8" s="22" t="s">
        <v>649</v>
      </c>
      <c r="F8" s="22" t="s">
        <v>650</v>
      </c>
      <c r="G8" s="22" t="str">
        <f>masterlist!C7</f>
        <v>cry</v>
      </c>
      <c r="H8" s="22">
        <v>6</v>
      </c>
      <c r="I8" s="22" t="s">
        <v>651</v>
      </c>
      <c r="J8" s="22"/>
      <c r="K8" s="22"/>
      <c r="L8" s="7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">
      <c r="A9" s="11" t="s">
        <v>38</v>
      </c>
      <c r="B9" s="22" t="str">
        <f t="shared" si="0"/>
        <v>Run 2.jpg</v>
      </c>
      <c r="C9" s="22" t="str">
        <f>masterlist!D8</f>
        <v>Løpe.mp4</v>
      </c>
      <c r="D9" s="22" t="s">
        <v>232</v>
      </c>
      <c r="E9" s="22" t="s">
        <v>649</v>
      </c>
      <c r="F9" s="22" t="s">
        <v>650</v>
      </c>
      <c r="G9" s="22" t="str">
        <f>masterlist!C8</f>
        <v>run</v>
      </c>
      <c r="H9" s="22">
        <v>7</v>
      </c>
      <c r="I9" s="22" t="s">
        <v>651</v>
      </c>
      <c r="J9" s="22"/>
      <c r="K9" s="22"/>
      <c r="L9" s="7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">
      <c r="A10" s="11" t="s">
        <v>38</v>
      </c>
      <c r="B10" s="22" t="str">
        <f t="shared" si="0"/>
        <v>Sing 2.jpg</v>
      </c>
      <c r="C10" s="22" t="str">
        <f>masterlist!D9</f>
        <v>Synge.mp4</v>
      </c>
      <c r="D10" s="22" t="s">
        <v>232</v>
      </c>
      <c r="E10" s="22" t="s">
        <v>649</v>
      </c>
      <c r="F10" s="22" t="s">
        <v>650</v>
      </c>
      <c r="G10" s="22" t="str">
        <f>masterlist!C9</f>
        <v>sing</v>
      </c>
      <c r="H10" s="22">
        <v>8</v>
      </c>
      <c r="I10" s="22" t="s">
        <v>651</v>
      </c>
      <c r="J10" s="22"/>
      <c r="K10" s="22"/>
      <c r="L10" s="7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">
      <c r="A11" s="11" t="s">
        <v>38</v>
      </c>
      <c r="B11" s="22" t="str">
        <f t="shared" si="0"/>
        <v>Think 2.jpg</v>
      </c>
      <c r="C11" s="22" t="str">
        <f>masterlist!D10</f>
        <v>Tror.mp4</v>
      </c>
      <c r="D11" s="22" t="s">
        <v>232</v>
      </c>
      <c r="E11" s="22" t="s">
        <v>649</v>
      </c>
      <c r="F11" s="22" t="s">
        <v>650</v>
      </c>
      <c r="G11" s="22" t="str">
        <f>masterlist!C10</f>
        <v>think</v>
      </c>
      <c r="H11" s="22">
        <v>9</v>
      </c>
      <c r="I11" s="22" t="s">
        <v>651</v>
      </c>
      <c r="J11" s="22"/>
      <c r="K11" s="22"/>
      <c r="L11" s="7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">
      <c r="A12" s="11" t="s">
        <v>38</v>
      </c>
      <c r="B12" s="22" t="str">
        <f t="shared" si="0"/>
        <v>Paint 2.jpg</v>
      </c>
      <c r="C12" s="22" t="str">
        <f>masterlist!D11</f>
        <v>Male.mp4</v>
      </c>
      <c r="D12" s="22" t="s">
        <v>232</v>
      </c>
      <c r="E12" s="22" t="s">
        <v>649</v>
      </c>
      <c r="F12" s="22" t="s">
        <v>650</v>
      </c>
      <c r="G12" s="22" t="str">
        <f>masterlist!C11</f>
        <v>paint</v>
      </c>
      <c r="H12" s="22">
        <v>10</v>
      </c>
      <c r="I12" s="22" t="s">
        <v>651</v>
      </c>
      <c r="J12" s="22"/>
      <c r="K12" s="22"/>
      <c r="L12" s="7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">
      <c r="A13" s="11" t="s">
        <v>38</v>
      </c>
      <c r="B13" s="22" t="str">
        <f t="shared" si="0"/>
        <v>Watch 2.jpg</v>
      </c>
      <c r="C13" s="22" t="str">
        <f>masterlist!D12</f>
        <v>Se-på.mp4</v>
      </c>
      <c r="D13" s="22" t="s">
        <v>232</v>
      </c>
      <c r="E13" s="22" t="s">
        <v>649</v>
      </c>
      <c r="F13" s="22" t="s">
        <v>650</v>
      </c>
      <c r="G13" s="22" t="str">
        <f>masterlist!C12</f>
        <v>watch</v>
      </c>
      <c r="H13" s="22">
        <v>11</v>
      </c>
      <c r="I13" s="22" t="s">
        <v>651</v>
      </c>
      <c r="J13" s="22"/>
      <c r="K13" s="22"/>
      <c r="L13" s="7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">
      <c r="A14" s="11" t="s">
        <v>38</v>
      </c>
      <c r="B14" s="22" t="str">
        <f t="shared" si="0"/>
        <v>Write 2.jpg</v>
      </c>
      <c r="C14" s="22" t="str">
        <f>masterlist!D13</f>
        <v>Skrive.mp4</v>
      </c>
      <c r="D14" s="22" t="s">
        <v>232</v>
      </c>
      <c r="E14" s="22" t="s">
        <v>649</v>
      </c>
      <c r="F14" s="22" t="s">
        <v>650</v>
      </c>
      <c r="G14" s="22" t="str">
        <f>masterlist!C13</f>
        <v>write</v>
      </c>
      <c r="H14" s="22">
        <v>12</v>
      </c>
      <c r="I14" s="22" t="s">
        <v>651</v>
      </c>
      <c r="J14" s="22"/>
      <c r="K14" s="22"/>
      <c r="L14" s="7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">
      <c r="A15" s="13" t="s">
        <v>38</v>
      </c>
      <c r="B15" s="22" t="str">
        <f t="shared" si="0"/>
        <v>Beauty 1.jpg</v>
      </c>
      <c r="C15" s="22" t="str">
        <f>masterlist!D14</f>
        <v>Pen.mp4</v>
      </c>
      <c r="D15" s="22" t="s">
        <v>649</v>
      </c>
      <c r="E15" s="22" t="s">
        <v>649</v>
      </c>
      <c r="F15" s="22" t="s">
        <v>650</v>
      </c>
      <c r="G15" s="22" t="str">
        <f>masterlist!C14</f>
        <v>beauty</v>
      </c>
      <c r="H15" s="22">
        <v>13</v>
      </c>
      <c r="I15" s="22" t="s">
        <v>651</v>
      </c>
      <c r="J15" s="22"/>
      <c r="K15" s="22"/>
      <c r="L15" s="7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">
      <c r="A16" s="13" t="s">
        <v>38</v>
      </c>
      <c r="B16" s="22" t="str">
        <f t="shared" si="0"/>
        <v>Change 1.jpg</v>
      </c>
      <c r="C16" s="22" t="str">
        <f>masterlist!D15</f>
        <v>Endring.mp4</v>
      </c>
      <c r="D16" s="22" t="s">
        <v>649</v>
      </c>
      <c r="E16" s="22" t="s">
        <v>649</v>
      </c>
      <c r="F16" s="22" t="s">
        <v>650</v>
      </c>
      <c r="G16" s="22" t="str">
        <f>masterlist!C15</f>
        <v>change</v>
      </c>
      <c r="H16" s="22">
        <v>14</v>
      </c>
      <c r="I16" s="22" t="s">
        <v>651</v>
      </c>
      <c r="J16" s="22"/>
      <c r="K16" s="22"/>
      <c r="L16" s="7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">
      <c r="A17" s="13" t="s">
        <v>38</v>
      </c>
      <c r="B17" s="22" t="str">
        <f t="shared" si="0"/>
        <v>Book 1.jpg</v>
      </c>
      <c r="C17" s="22" t="str">
        <f>masterlist!D16</f>
        <v>Bok.mp4</v>
      </c>
      <c r="D17" s="22" t="s">
        <v>649</v>
      </c>
      <c r="E17" s="22" t="s">
        <v>649</v>
      </c>
      <c r="F17" s="22" t="s">
        <v>650</v>
      </c>
      <c r="G17" s="22" t="str">
        <f>masterlist!C16</f>
        <v>book</v>
      </c>
      <c r="H17" s="22">
        <v>15</v>
      </c>
      <c r="I17" s="22" t="s">
        <v>651</v>
      </c>
      <c r="J17" s="22"/>
      <c r="K17" s="22"/>
      <c r="L17" s="7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">
      <c r="A18" s="13" t="s">
        <v>38</v>
      </c>
      <c r="B18" s="22" t="str">
        <f t="shared" si="0"/>
        <v>Coffee 1.jpg</v>
      </c>
      <c r="C18" s="22" t="str">
        <f>masterlist!D17</f>
        <v>Kaffe.mp4</v>
      </c>
      <c r="D18" s="22" t="s">
        <v>649</v>
      </c>
      <c r="E18" s="22" t="s">
        <v>649</v>
      </c>
      <c r="F18" s="22" t="s">
        <v>650</v>
      </c>
      <c r="G18" s="22" t="str">
        <f>masterlist!C17</f>
        <v>coffee</v>
      </c>
      <c r="H18" s="22">
        <v>16</v>
      </c>
      <c r="I18" s="22" t="s">
        <v>651</v>
      </c>
      <c r="J18" s="22"/>
      <c r="K18" s="22"/>
      <c r="L18" s="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">
      <c r="A19" s="13" t="s">
        <v>38</v>
      </c>
      <c r="B19" s="22" t="str">
        <f t="shared" si="0"/>
        <v>Cigar 1.jpg</v>
      </c>
      <c r="C19" s="22" t="str">
        <f>masterlist!D18</f>
        <v>Sigar.mp4</v>
      </c>
      <c r="D19" s="22" t="s">
        <v>649</v>
      </c>
      <c r="E19" s="22" t="s">
        <v>649</v>
      </c>
      <c r="F19" s="22" t="s">
        <v>650</v>
      </c>
      <c r="G19" s="22" t="str">
        <f>masterlist!C18</f>
        <v>cigar</v>
      </c>
      <c r="H19" s="22">
        <v>17</v>
      </c>
      <c r="I19" s="22" t="s">
        <v>651</v>
      </c>
      <c r="J19" s="22"/>
      <c r="K19" s="22"/>
      <c r="L19" s="7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">
      <c r="A20" s="13" t="s">
        <v>38</v>
      </c>
      <c r="B20" s="22" t="str">
        <f t="shared" si="0"/>
        <v>Flower 1.jpg</v>
      </c>
      <c r="C20" s="22" t="str">
        <f>masterlist!D19</f>
        <v>Blomst.mp4</v>
      </c>
      <c r="D20" s="22" t="s">
        <v>649</v>
      </c>
      <c r="E20" s="22" t="s">
        <v>649</v>
      </c>
      <c r="F20" s="22" t="s">
        <v>650</v>
      </c>
      <c r="G20" s="22" t="str">
        <f>masterlist!C19</f>
        <v>flower</v>
      </c>
      <c r="H20" s="22">
        <v>18</v>
      </c>
      <c r="I20" s="22" t="s">
        <v>651</v>
      </c>
      <c r="J20" s="22"/>
      <c r="K20" s="22"/>
      <c r="L20" s="7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">
      <c r="A21" s="13" t="s">
        <v>38</v>
      </c>
      <c r="B21" s="22" t="str">
        <f t="shared" si="0"/>
        <v>Metal 2.jpg</v>
      </c>
      <c r="C21" s="22" t="str">
        <f>masterlist!D20</f>
        <v>Metall.mp4</v>
      </c>
      <c r="D21" s="22" t="s">
        <v>232</v>
      </c>
      <c r="E21" s="22" t="s">
        <v>649</v>
      </c>
      <c r="F21" s="22" t="s">
        <v>650</v>
      </c>
      <c r="G21" s="22" t="str">
        <f>masterlist!C20</f>
        <v>metal</v>
      </c>
      <c r="H21" s="22">
        <v>19</v>
      </c>
      <c r="I21" s="22" t="s">
        <v>651</v>
      </c>
      <c r="J21" s="22"/>
      <c r="K21" s="22"/>
      <c r="L21" s="7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">
      <c r="A22" s="13" t="s">
        <v>38</v>
      </c>
      <c r="B22" s="22" t="str">
        <f t="shared" si="0"/>
        <v>Telephone 2.jpg</v>
      </c>
      <c r="C22" s="22" t="str">
        <f>masterlist!D21</f>
        <v>Telefon.mp4</v>
      </c>
      <c r="D22" s="22" t="s">
        <v>232</v>
      </c>
      <c r="E22" s="22" t="s">
        <v>649</v>
      </c>
      <c r="F22" s="22" t="s">
        <v>650</v>
      </c>
      <c r="G22" s="22" t="str">
        <f>masterlist!C21</f>
        <v>telephone</v>
      </c>
      <c r="H22" s="22">
        <v>20</v>
      </c>
      <c r="I22" s="22" t="s">
        <v>651</v>
      </c>
      <c r="J22" s="22"/>
      <c r="K22" s="22"/>
      <c r="L22" s="7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">
      <c r="A23" s="13" t="s">
        <v>38</v>
      </c>
      <c r="B23" s="22" t="str">
        <f t="shared" si="0"/>
        <v>Jump 2.jpg</v>
      </c>
      <c r="C23" s="22" t="str">
        <f>masterlist!D22</f>
        <v>Hoppe.mp4</v>
      </c>
      <c r="D23" s="22" t="s">
        <v>232</v>
      </c>
      <c r="E23" s="22" t="s">
        <v>649</v>
      </c>
      <c r="F23" s="22" t="s">
        <v>650</v>
      </c>
      <c r="G23" s="22" t="str">
        <f>masterlist!C22</f>
        <v>jump</v>
      </c>
      <c r="H23" s="22">
        <v>21</v>
      </c>
      <c r="I23" s="22" t="s">
        <v>651</v>
      </c>
      <c r="J23" s="22"/>
      <c r="K23" s="22"/>
      <c r="L23" s="7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">
      <c r="A24" s="13" t="s">
        <v>38</v>
      </c>
      <c r="B24" s="22" t="str">
        <f t="shared" si="0"/>
        <v>Leave 2.jpg</v>
      </c>
      <c r="C24" s="22" t="str">
        <f>masterlist!D23</f>
        <v>Stikke-av.mp4</v>
      </c>
      <c r="D24" s="22" t="s">
        <v>232</v>
      </c>
      <c r="E24" s="22" t="s">
        <v>649</v>
      </c>
      <c r="F24" s="22" t="s">
        <v>650</v>
      </c>
      <c r="G24" s="22" t="str">
        <f>masterlist!C23</f>
        <v>leave</v>
      </c>
      <c r="H24" s="22">
        <v>22</v>
      </c>
      <c r="I24" s="22" t="s">
        <v>651</v>
      </c>
      <c r="J24" s="22"/>
      <c r="K24" s="22"/>
      <c r="L24" s="7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">
      <c r="A25" s="13" t="s">
        <v>38</v>
      </c>
      <c r="B25" s="22" t="str">
        <f t="shared" si="0"/>
        <v>Lose 2.jpg</v>
      </c>
      <c r="C25" s="22" t="str">
        <f>masterlist!D24</f>
        <v>Miste.mp4</v>
      </c>
      <c r="D25" s="22" t="s">
        <v>232</v>
      </c>
      <c r="E25" s="22" t="s">
        <v>649</v>
      </c>
      <c r="F25" s="22" t="s">
        <v>650</v>
      </c>
      <c r="G25" s="22" t="str">
        <f>masterlist!C24</f>
        <v>lose</v>
      </c>
      <c r="H25" s="22">
        <v>23</v>
      </c>
      <c r="I25" s="22" t="s">
        <v>651</v>
      </c>
      <c r="J25" s="22"/>
      <c r="K25" s="22"/>
      <c r="L25" s="7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">
      <c r="A26" s="13" t="s">
        <v>38</v>
      </c>
      <c r="B26" s="22" t="str">
        <f t="shared" si="0"/>
        <v>Take 2.jpg</v>
      </c>
      <c r="C26" s="22" t="str">
        <f>masterlist!D25</f>
        <v>Ta.mp4</v>
      </c>
      <c r="D26" s="22" t="s">
        <v>232</v>
      </c>
      <c r="E26" s="22" t="s">
        <v>649</v>
      </c>
      <c r="F26" s="22" t="s">
        <v>650</v>
      </c>
      <c r="G26" s="22" t="str">
        <f>masterlist!C25</f>
        <v>take</v>
      </c>
      <c r="H26" s="22">
        <v>24</v>
      </c>
      <c r="I26" s="22" t="s">
        <v>651</v>
      </c>
      <c r="J26" s="22"/>
      <c r="K26" s="22"/>
      <c r="L26" s="7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">
      <c r="A27" s="11" t="s">
        <v>38</v>
      </c>
      <c r="B27" s="22" t="str">
        <f t="shared" si="0"/>
        <v>Frog 1.jpg</v>
      </c>
      <c r="C27" s="22" t="str">
        <f>masterlist!D26</f>
        <v>Frosk.mp4</v>
      </c>
      <c r="D27" s="22" t="s">
        <v>649</v>
      </c>
      <c r="E27" s="22" t="s">
        <v>649</v>
      </c>
      <c r="F27" s="22" t="s">
        <v>650</v>
      </c>
      <c r="G27" s="22" t="str">
        <f>masterlist!C26</f>
        <v>frog</v>
      </c>
      <c r="H27" s="22">
        <v>25</v>
      </c>
      <c r="I27" s="22" t="s">
        <v>652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">
      <c r="A28" s="11" t="s">
        <v>38</v>
      </c>
      <c r="B28" s="22" t="str">
        <f t="shared" si="0"/>
        <v>Gorilla 1.jpg</v>
      </c>
      <c r="C28" s="22" t="str">
        <f>masterlist!D27</f>
        <v>Gorilla.mp4</v>
      </c>
      <c r="D28" s="22" t="s">
        <v>649</v>
      </c>
      <c r="E28" s="22" t="s">
        <v>649</v>
      </c>
      <c r="F28" s="22" t="s">
        <v>650</v>
      </c>
      <c r="G28" s="22" t="str">
        <f>masterlist!C27</f>
        <v>gorilla</v>
      </c>
      <c r="H28" s="22">
        <v>26</v>
      </c>
      <c r="I28" s="22" t="s">
        <v>652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">
      <c r="A29" s="11" t="s">
        <v>38</v>
      </c>
      <c r="B29" s="22" t="str">
        <f t="shared" si="0"/>
        <v>Come 1.jpg</v>
      </c>
      <c r="C29" s="22" t="str">
        <f>masterlist!D28</f>
        <v>Komme.mp4</v>
      </c>
      <c r="D29" s="22" t="s">
        <v>649</v>
      </c>
      <c r="E29" s="22" t="s">
        <v>649</v>
      </c>
      <c r="F29" s="22" t="s">
        <v>650</v>
      </c>
      <c r="G29" s="22" t="str">
        <f>masterlist!C28</f>
        <v>come</v>
      </c>
      <c r="H29" s="22">
        <v>27</v>
      </c>
      <c r="I29" s="22" t="s">
        <v>652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">
      <c r="A30" s="11" t="s">
        <v>38</v>
      </c>
      <c r="B30" s="22" t="str">
        <f t="shared" si="0"/>
        <v>Sail 1.jpg</v>
      </c>
      <c r="C30" s="22" t="str">
        <f>masterlist!D29</f>
        <v>Seil-båt.mp4</v>
      </c>
      <c r="D30" s="22" t="s">
        <v>649</v>
      </c>
      <c r="E30" s="22" t="s">
        <v>649</v>
      </c>
      <c r="F30" s="22" t="s">
        <v>650</v>
      </c>
      <c r="G30" s="22" t="str">
        <f>masterlist!C29</f>
        <v>sail</v>
      </c>
      <c r="H30" s="22">
        <v>28</v>
      </c>
      <c r="I30" s="22" t="s">
        <v>652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">
      <c r="A31" s="11" t="s">
        <v>38</v>
      </c>
      <c r="B31" s="22" t="str">
        <f t="shared" si="0"/>
        <v>Travel 1.jpg</v>
      </c>
      <c r="C31" s="22" t="str">
        <f>masterlist!D30</f>
        <v>Reise.mp4</v>
      </c>
      <c r="D31" s="22" t="s">
        <v>649</v>
      </c>
      <c r="E31" s="22" t="s">
        <v>649</v>
      </c>
      <c r="F31" s="22" t="s">
        <v>650</v>
      </c>
      <c r="G31" s="22" t="str">
        <f>masterlist!C30</f>
        <v>travel</v>
      </c>
      <c r="H31" s="22">
        <v>29</v>
      </c>
      <c r="I31" s="22" t="s">
        <v>652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">
      <c r="A32" s="11" t="s">
        <v>38</v>
      </c>
      <c r="B32" s="22" t="str">
        <f t="shared" si="0"/>
        <v>Doubt 1.jpg</v>
      </c>
      <c r="C32" s="22" t="str">
        <f>masterlist!D31</f>
        <v>Skeptisk.mp4</v>
      </c>
      <c r="D32" s="22" t="s">
        <v>649</v>
      </c>
      <c r="E32" s="22" t="s">
        <v>649</v>
      </c>
      <c r="F32" s="22" t="s">
        <v>650</v>
      </c>
      <c r="G32" s="22" t="str">
        <f>masterlist!C31</f>
        <v>doubt</v>
      </c>
      <c r="H32" s="22">
        <v>30</v>
      </c>
      <c r="I32" s="22" t="s">
        <v>652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">
      <c r="A33" s="11" t="s">
        <v>38</v>
      </c>
      <c r="B33" s="22" t="str">
        <f t="shared" si="0"/>
        <v>Play 2.jpg</v>
      </c>
      <c r="C33" s="22" t="str">
        <f>masterlist!D32</f>
        <v>Spille.mp4</v>
      </c>
      <c r="D33" s="22" t="s">
        <v>232</v>
      </c>
      <c r="E33" s="22" t="s">
        <v>649</v>
      </c>
      <c r="F33" s="22" t="s">
        <v>650</v>
      </c>
      <c r="G33" s="22" t="str">
        <f>masterlist!C32</f>
        <v>play</v>
      </c>
      <c r="H33" s="22">
        <v>31</v>
      </c>
      <c r="I33" s="22" t="s">
        <v>652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">
      <c r="A34" s="11" t="s">
        <v>38</v>
      </c>
      <c r="B34" s="22" t="str">
        <f t="shared" si="0"/>
        <v>Engagement 2.jpg</v>
      </c>
      <c r="C34" s="22" t="str">
        <f>masterlist!D33</f>
        <v>Forlovet.mp4</v>
      </c>
      <c r="D34" s="22" t="s">
        <v>232</v>
      </c>
      <c r="E34" s="22" t="s">
        <v>649</v>
      </c>
      <c r="F34" s="22" t="s">
        <v>650</v>
      </c>
      <c r="G34" s="22" t="str">
        <f>masterlist!C33</f>
        <v>engagement</v>
      </c>
      <c r="H34" s="22">
        <v>32</v>
      </c>
      <c r="I34" s="22" t="s">
        <v>652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">
      <c r="A35" s="11" t="s">
        <v>38</v>
      </c>
      <c r="B35" s="22" t="str">
        <f t="shared" si="0"/>
        <v>Color 2.jpg</v>
      </c>
      <c r="C35" s="22" t="str">
        <f>masterlist!D34</f>
        <v>Farge.mp4</v>
      </c>
      <c r="D35" s="22" t="s">
        <v>232</v>
      </c>
      <c r="E35" s="22" t="s">
        <v>649</v>
      </c>
      <c r="F35" s="22" t="s">
        <v>650</v>
      </c>
      <c r="G35" s="22" t="str">
        <f>masterlist!C34</f>
        <v>color</v>
      </c>
      <c r="H35" s="22">
        <v>33</v>
      </c>
      <c r="I35" s="22" t="s">
        <v>652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">
      <c r="A36" s="11" t="s">
        <v>38</v>
      </c>
      <c r="B36" s="22" t="str">
        <f t="shared" si="0"/>
        <v>East 2.jpg</v>
      </c>
      <c r="C36" s="22" t="str">
        <f>masterlist!D35</f>
        <v>Øst.mp4</v>
      </c>
      <c r="D36" s="22" t="s">
        <v>232</v>
      </c>
      <c r="E36" s="22" t="s">
        <v>649</v>
      </c>
      <c r="F36" s="22" t="s">
        <v>650</v>
      </c>
      <c r="G36" s="22" t="str">
        <f>masterlist!C35</f>
        <v>east</v>
      </c>
      <c r="H36" s="22">
        <v>34</v>
      </c>
      <c r="I36" s="22" t="s">
        <v>652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">
      <c r="A37" s="11" t="s">
        <v>38</v>
      </c>
      <c r="B37" s="22" t="str">
        <f t="shared" si="0"/>
        <v>School 2.jpg</v>
      </c>
      <c r="C37" s="22" t="str">
        <f>masterlist!D36</f>
        <v>Skole.mp4</v>
      </c>
      <c r="D37" s="22" t="s">
        <v>232</v>
      </c>
      <c r="E37" s="22" t="s">
        <v>649</v>
      </c>
      <c r="F37" s="22" t="s">
        <v>650</v>
      </c>
      <c r="G37" s="22" t="str">
        <f>masterlist!C36</f>
        <v>school</v>
      </c>
      <c r="H37" s="22">
        <v>35</v>
      </c>
      <c r="I37" s="22" t="s">
        <v>652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">
      <c r="A38" s="11" t="s">
        <v>38</v>
      </c>
      <c r="B38" s="22" t="str">
        <f t="shared" si="0"/>
        <v>Pain 2.jpg</v>
      </c>
      <c r="C38" s="22" t="str">
        <f>masterlist!D37</f>
        <v>Vondt.mp4</v>
      </c>
      <c r="D38" s="22" t="s">
        <v>232</v>
      </c>
      <c r="E38" s="22" t="s">
        <v>649</v>
      </c>
      <c r="F38" s="22" t="s">
        <v>650</v>
      </c>
      <c r="G38" s="22" t="str">
        <f>masterlist!C37</f>
        <v>pain</v>
      </c>
      <c r="H38" s="22">
        <v>36</v>
      </c>
      <c r="I38" s="22" t="s">
        <v>652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">
      <c r="A39" s="13" t="s">
        <v>38</v>
      </c>
      <c r="B39" s="22" t="str">
        <f t="shared" si="0"/>
        <v>Cabbage 1.jpg</v>
      </c>
      <c r="C39" s="22" t="str">
        <f>masterlist!D38</f>
        <v>Kåle.mp4</v>
      </c>
      <c r="D39" s="22" t="s">
        <v>649</v>
      </c>
      <c r="E39" s="22" t="s">
        <v>649</v>
      </c>
      <c r="F39" s="22" t="s">
        <v>650</v>
      </c>
      <c r="G39" s="22" t="str">
        <f>masterlist!C38</f>
        <v>cabbage</v>
      </c>
      <c r="H39" s="22">
        <v>37</v>
      </c>
      <c r="I39" s="22" t="s">
        <v>652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">
      <c r="A40" s="13" t="s">
        <v>38</v>
      </c>
      <c r="B40" s="22" t="str">
        <f t="shared" si="0"/>
        <v>Doll 1.jpg</v>
      </c>
      <c r="C40" s="22" t="str">
        <f>masterlist!D39</f>
        <v>Dukke.mp4</v>
      </c>
      <c r="D40" s="22" t="s">
        <v>649</v>
      </c>
      <c r="E40" s="22" t="s">
        <v>649</v>
      </c>
      <c r="F40" s="22" t="s">
        <v>650</v>
      </c>
      <c r="G40" s="22" t="str">
        <f>masterlist!C39</f>
        <v>doll</v>
      </c>
      <c r="H40" s="22">
        <v>38</v>
      </c>
      <c r="I40" s="22" t="s">
        <v>652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">
      <c r="A41" s="13" t="s">
        <v>38</v>
      </c>
      <c r="B41" s="22" t="str">
        <f t="shared" si="0"/>
        <v>Magazine 1.jpg</v>
      </c>
      <c r="C41" s="22" t="str">
        <f>masterlist!D40</f>
        <v>Dagbladet.mp4</v>
      </c>
      <c r="D41" s="22" t="s">
        <v>649</v>
      </c>
      <c r="E41" s="22" t="s">
        <v>649</v>
      </c>
      <c r="F41" s="22" t="s">
        <v>650</v>
      </c>
      <c r="G41" s="22" t="str">
        <f>masterlist!C40</f>
        <v>magazine</v>
      </c>
      <c r="H41" s="22">
        <v>39</v>
      </c>
      <c r="I41" s="22" t="s">
        <v>652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">
      <c r="A42" s="13" t="s">
        <v>38</v>
      </c>
      <c r="B42" s="22" t="str">
        <f t="shared" si="0"/>
        <v>Ring 1.jpg</v>
      </c>
      <c r="C42" s="22" t="str">
        <f>masterlist!D41</f>
        <v>Sirkel.mp4</v>
      </c>
      <c r="D42" s="22" t="s">
        <v>649</v>
      </c>
      <c r="E42" s="22" t="s">
        <v>649</v>
      </c>
      <c r="F42" s="22" t="s">
        <v>650</v>
      </c>
      <c r="G42" s="22" t="str">
        <f>masterlist!C41</f>
        <v>ring</v>
      </c>
      <c r="H42" s="22">
        <v>40</v>
      </c>
      <c r="I42" s="22" t="s">
        <v>652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">
      <c r="A43" s="13" t="s">
        <v>38</v>
      </c>
      <c r="B43" s="22" t="str">
        <f t="shared" si="0"/>
        <v>Salt 1.jpg</v>
      </c>
      <c r="C43" s="22" t="str">
        <f>masterlist!D42</f>
        <v>Salt.mp4</v>
      </c>
      <c r="D43" s="22" t="s">
        <v>649</v>
      </c>
      <c r="E43" s="22" t="s">
        <v>649</v>
      </c>
      <c r="F43" s="22" t="s">
        <v>650</v>
      </c>
      <c r="G43" s="22" t="str">
        <f>masterlist!C42</f>
        <v>salt</v>
      </c>
      <c r="H43" s="22">
        <v>41</v>
      </c>
      <c r="I43" s="22" t="s">
        <v>652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">
      <c r="A44" s="13" t="s">
        <v>38</v>
      </c>
      <c r="B44" s="22" t="str">
        <f t="shared" si="0"/>
        <v>Sneeze 1.jpg</v>
      </c>
      <c r="C44" s="22" t="str">
        <f>masterlist!D43</f>
        <v>Nyse.mp4</v>
      </c>
      <c r="D44" s="22" t="s">
        <v>649</v>
      </c>
      <c r="E44" s="22" t="s">
        <v>649</v>
      </c>
      <c r="F44" s="22" t="s">
        <v>650</v>
      </c>
      <c r="G44" s="22" t="str">
        <f>masterlist!C43</f>
        <v>sneeze</v>
      </c>
      <c r="H44" s="22">
        <v>42</v>
      </c>
      <c r="I44" s="22" t="s">
        <v>652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">
      <c r="A45" s="13" t="s">
        <v>38</v>
      </c>
      <c r="B45" s="22" t="str">
        <f t="shared" si="0"/>
        <v>Try 2.jpg</v>
      </c>
      <c r="C45" s="22" t="str">
        <f>masterlist!D44</f>
        <v>Prøve.mp4</v>
      </c>
      <c r="D45" s="22" t="s">
        <v>232</v>
      </c>
      <c r="E45" s="22" t="s">
        <v>649</v>
      </c>
      <c r="F45" s="22" t="s">
        <v>650</v>
      </c>
      <c r="G45" s="22" t="str">
        <f>masterlist!C44</f>
        <v>try</v>
      </c>
      <c r="H45" s="22">
        <v>43</v>
      </c>
      <c r="I45" s="22" t="s">
        <v>652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">
      <c r="A46" s="13" t="s">
        <v>38</v>
      </c>
      <c r="B46" s="22" t="str">
        <f t="shared" si="0"/>
        <v>Wait 2.jpg</v>
      </c>
      <c r="C46" s="22" t="str">
        <f>masterlist!D45</f>
        <v>Vente.mp4</v>
      </c>
      <c r="D46" s="22" t="s">
        <v>232</v>
      </c>
      <c r="E46" s="22" t="s">
        <v>649</v>
      </c>
      <c r="F46" s="22" t="s">
        <v>650</v>
      </c>
      <c r="G46" s="22" t="str">
        <f>masterlist!C45</f>
        <v>wait</v>
      </c>
      <c r="H46" s="22">
        <v>44</v>
      </c>
      <c r="I46" s="22" t="s">
        <v>652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">
      <c r="A47" s="13" t="s">
        <v>38</v>
      </c>
      <c r="B47" s="22" t="str">
        <f t="shared" si="0"/>
        <v>Call 2.jpg</v>
      </c>
      <c r="C47" s="22" t="str">
        <f>masterlist!D46</f>
        <v>Rope.mp4</v>
      </c>
      <c r="D47" s="22" t="s">
        <v>232</v>
      </c>
      <c r="E47" s="22" t="s">
        <v>649</v>
      </c>
      <c r="F47" s="22" t="s">
        <v>650</v>
      </c>
      <c r="G47" s="22" t="str">
        <f>masterlist!C46</f>
        <v>call</v>
      </c>
      <c r="H47" s="22">
        <v>45</v>
      </c>
      <c r="I47" s="22" t="s">
        <v>652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">
      <c r="A48" s="13" t="s">
        <v>38</v>
      </c>
      <c r="B48" s="22" t="str">
        <f t="shared" si="0"/>
        <v>Choose 2.jpg</v>
      </c>
      <c r="C48" s="22" t="str">
        <f>masterlist!D47</f>
        <v>Velge.mp4</v>
      </c>
      <c r="D48" s="22" t="s">
        <v>232</v>
      </c>
      <c r="E48" s="22" t="s">
        <v>649</v>
      </c>
      <c r="F48" s="22" t="s">
        <v>650</v>
      </c>
      <c r="G48" s="22" t="str">
        <f>masterlist!C47</f>
        <v>choose</v>
      </c>
      <c r="H48" s="22">
        <v>46</v>
      </c>
      <c r="I48" s="22" t="s">
        <v>652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">
      <c r="A49" s="13" t="s">
        <v>38</v>
      </c>
      <c r="B49" s="22" t="str">
        <f t="shared" si="0"/>
        <v>Show 2.jpg</v>
      </c>
      <c r="C49" s="22" t="str">
        <f>masterlist!D48</f>
        <v>Vise.mp4</v>
      </c>
      <c r="D49" s="22" t="s">
        <v>232</v>
      </c>
      <c r="E49" s="22" t="s">
        <v>649</v>
      </c>
      <c r="F49" s="22" t="s">
        <v>650</v>
      </c>
      <c r="G49" s="22" t="str">
        <f>masterlist!C48</f>
        <v>show</v>
      </c>
      <c r="H49" s="22">
        <v>47</v>
      </c>
      <c r="I49" s="22" t="s">
        <v>652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">
      <c r="A50" s="13" t="s">
        <v>38</v>
      </c>
      <c r="B50" s="22" t="str">
        <f t="shared" si="0"/>
        <v>Win 2.jpg</v>
      </c>
      <c r="C50" s="22" t="str">
        <f>masterlist!D49</f>
        <v>Vinne.mp4</v>
      </c>
      <c r="D50" s="22" t="s">
        <v>232</v>
      </c>
      <c r="E50" s="22" t="s">
        <v>649</v>
      </c>
      <c r="F50" s="22" t="s">
        <v>650</v>
      </c>
      <c r="G50" s="22" t="str">
        <f>masterlist!C49</f>
        <v>win</v>
      </c>
      <c r="H50" s="22">
        <v>48</v>
      </c>
      <c r="I50" s="22" t="s">
        <v>652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x14ac:dyDescent="0.2">
      <c r="A51" s="13" t="s">
        <v>230</v>
      </c>
      <c r="B51" s="22" t="str">
        <f>nsl_list2!B3</f>
        <v>Boy 2.jpg</v>
      </c>
      <c r="C51" s="22" t="str">
        <f>foils!F2</f>
        <v>Tegne.mp4</v>
      </c>
      <c r="D51" s="22" t="s">
        <v>232</v>
      </c>
      <c r="E51" s="22" t="s">
        <v>232</v>
      </c>
      <c r="F51" s="22" t="s">
        <v>653</v>
      </c>
      <c r="G51" s="22" t="s">
        <v>231</v>
      </c>
      <c r="H51" s="22">
        <v>49</v>
      </c>
      <c r="I51" s="22" t="s">
        <v>652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x14ac:dyDescent="0.2">
      <c r="A52" s="13" t="s">
        <v>230</v>
      </c>
      <c r="B52" s="22" t="str">
        <f>nsl_list2!B4</f>
        <v>Children 2.jpg</v>
      </c>
      <c r="C52" s="22" t="str">
        <f>foils!F3</f>
        <v>Fotball.mp4</v>
      </c>
      <c r="D52" s="22" t="s">
        <v>232</v>
      </c>
      <c r="E52" s="22" t="s">
        <v>232</v>
      </c>
      <c r="F52" s="22" t="s">
        <v>653</v>
      </c>
      <c r="G52" s="22" t="s">
        <v>231</v>
      </c>
      <c r="H52" s="22">
        <v>50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x14ac:dyDescent="0.2">
      <c r="A53" s="13" t="s">
        <v>230</v>
      </c>
      <c r="B53" s="22" t="str">
        <f>nsl_list2!B5</f>
        <v>Eagle 2.jpg</v>
      </c>
      <c r="C53" s="22" t="str">
        <f>foils!F4</f>
        <v>Gate.mp4</v>
      </c>
      <c r="D53" s="22" t="s">
        <v>232</v>
      </c>
      <c r="E53" s="22" t="s">
        <v>232</v>
      </c>
      <c r="F53" s="22" t="s">
        <v>653</v>
      </c>
      <c r="G53" s="22" t="s">
        <v>231</v>
      </c>
      <c r="H53" s="22">
        <v>51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x14ac:dyDescent="0.2">
      <c r="A54" s="13" t="s">
        <v>230</v>
      </c>
      <c r="B54" s="22" t="str">
        <f>nsl_list2!B6</f>
        <v>Family 2.jpg</v>
      </c>
      <c r="C54" s="22" t="str">
        <f>foils!F5</f>
        <v>Snakke.mp4</v>
      </c>
      <c r="D54" s="22" t="s">
        <v>232</v>
      </c>
      <c r="E54" s="22" t="s">
        <v>232</v>
      </c>
      <c r="F54" s="22" t="s">
        <v>653</v>
      </c>
      <c r="G54" s="22" t="s">
        <v>231</v>
      </c>
      <c r="H54" s="22">
        <v>52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x14ac:dyDescent="0.2">
      <c r="A55" s="13" t="s">
        <v>230</v>
      </c>
      <c r="B55" s="22" t="str">
        <f>nsl_list2!B7</f>
        <v>Breathe 2.jpg</v>
      </c>
      <c r="C55" s="22" t="str">
        <f>foils!F6</f>
        <v>Kirke.mp4</v>
      </c>
      <c r="D55" s="22" t="s">
        <v>232</v>
      </c>
      <c r="E55" s="22" t="s">
        <v>232</v>
      </c>
      <c r="F55" s="22" t="s">
        <v>653</v>
      </c>
      <c r="G55" s="22" t="s">
        <v>231</v>
      </c>
      <c r="H55" s="22">
        <v>53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x14ac:dyDescent="0.2">
      <c r="A56" s="13" t="s">
        <v>230</v>
      </c>
      <c r="B56" s="22" t="str">
        <f>nsl_list2!B8</f>
        <v>Cry 2.jpg</v>
      </c>
      <c r="C56" s="22" t="str">
        <f>foils!F7</f>
        <v>Invitere.mp4</v>
      </c>
      <c r="D56" s="22" t="s">
        <v>232</v>
      </c>
      <c r="E56" s="22" t="s">
        <v>232</v>
      </c>
      <c r="F56" s="22" t="s">
        <v>653</v>
      </c>
      <c r="G56" s="22" t="s">
        <v>231</v>
      </c>
      <c r="H56" s="22">
        <v>54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x14ac:dyDescent="0.2">
      <c r="A57" s="13" t="s">
        <v>230</v>
      </c>
      <c r="B57" s="22" t="str">
        <f>nsl_list2!B9</f>
        <v>Run 1.jpg</v>
      </c>
      <c r="C57" s="22" t="str">
        <f>foils!F8</f>
        <v>Jord.mp4</v>
      </c>
      <c r="D57" s="22" t="s">
        <v>232</v>
      </c>
      <c r="E57" s="22" t="s">
        <v>232</v>
      </c>
      <c r="F57" s="22" t="s">
        <v>653</v>
      </c>
      <c r="G57" s="22" t="s">
        <v>231</v>
      </c>
      <c r="H57" s="22">
        <v>55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x14ac:dyDescent="0.2">
      <c r="A58" s="13" t="s">
        <v>230</v>
      </c>
      <c r="B58" s="22" t="str">
        <f>nsl_list2!B10</f>
        <v>Sing 1.jpg</v>
      </c>
      <c r="C58" s="22" t="str">
        <f>foils!F9</f>
        <v>Flytte.mp4</v>
      </c>
      <c r="D58" s="22" t="s">
        <v>232</v>
      </c>
      <c r="E58" s="22" t="s">
        <v>232</v>
      </c>
      <c r="F58" s="22" t="s">
        <v>653</v>
      </c>
      <c r="G58" s="22" t="s">
        <v>231</v>
      </c>
      <c r="H58" s="22">
        <v>56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x14ac:dyDescent="0.2">
      <c r="A59" s="13" t="s">
        <v>230</v>
      </c>
      <c r="B59" s="22" t="str">
        <f>nsl_list2!B11</f>
        <v>Think 1.jpg</v>
      </c>
      <c r="C59" s="22" t="str">
        <f>foils!F10</f>
        <v>Dø.mp4</v>
      </c>
      <c r="D59" s="22" t="s">
        <v>232</v>
      </c>
      <c r="E59" s="22" t="s">
        <v>232</v>
      </c>
      <c r="F59" s="22" t="s">
        <v>653</v>
      </c>
      <c r="G59" s="22" t="s">
        <v>231</v>
      </c>
      <c r="H59" s="22">
        <v>57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x14ac:dyDescent="0.2">
      <c r="A60" s="13" t="s">
        <v>230</v>
      </c>
      <c r="B60" s="22" t="str">
        <f>nsl_list2!B12</f>
        <v>Paint 1.jpg</v>
      </c>
      <c r="C60" s="22" t="str">
        <f>foils!F11</f>
        <v>Kjøtt.mp4</v>
      </c>
      <c r="D60" s="22" t="s">
        <v>232</v>
      </c>
      <c r="E60" s="22" t="s">
        <v>232</v>
      </c>
      <c r="F60" s="22" t="s">
        <v>653</v>
      </c>
      <c r="G60" s="22" t="s">
        <v>231</v>
      </c>
      <c r="H60" s="22">
        <v>58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x14ac:dyDescent="0.2">
      <c r="A61" s="13" t="s">
        <v>230</v>
      </c>
      <c r="B61" s="22" t="str">
        <f>nsl_list2!B13</f>
        <v>Watch 1.jpg</v>
      </c>
      <c r="C61" s="22" t="str">
        <f>foils!F12</f>
        <v>Jakt.mp4</v>
      </c>
      <c r="D61" s="22" t="s">
        <v>232</v>
      </c>
      <c r="E61" s="22" t="s">
        <v>232</v>
      </c>
      <c r="F61" s="22" t="s">
        <v>653</v>
      </c>
      <c r="G61" s="22" t="s">
        <v>231</v>
      </c>
      <c r="H61" s="22">
        <v>59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x14ac:dyDescent="0.2">
      <c r="A62" s="13" t="s">
        <v>230</v>
      </c>
      <c r="B62" s="22" t="str">
        <f>nsl_list2!B14</f>
        <v>Write 1.jpg</v>
      </c>
      <c r="C62" s="22" t="str">
        <f>foils!F13</f>
        <v>Snø.mp4</v>
      </c>
      <c r="D62" s="22" t="s">
        <v>232</v>
      </c>
      <c r="E62" s="22" t="s">
        <v>232</v>
      </c>
      <c r="F62" s="22" t="s">
        <v>653</v>
      </c>
      <c r="G62" s="22" t="s">
        <v>231</v>
      </c>
      <c r="H62" s="22">
        <v>60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x14ac:dyDescent="0.2">
      <c r="A63" s="13" t="s">
        <v>230</v>
      </c>
      <c r="B63" s="22" t="str">
        <f>nsl_list2!B15</f>
        <v>Beauty 2.jpg</v>
      </c>
      <c r="C63" s="22" t="str">
        <f>foils!F14</f>
        <v>Blod.mp4</v>
      </c>
      <c r="D63" s="22" t="s">
        <v>232</v>
      </c>
      <c r="E63" s="22" t="s">
        <v>232</v>
      </c>
      <c r="F63" s="22" t="s">
        <v>653</v>
      </c>
      <c r="G63" s="22" t="s">
        <v>231</v>
      </c>
      <c r="H63" s="22">
        <v>61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x14ac:dyDescent="0.2">
      <c r="A64" s="13" t="s">
        <v>230</v>
      </c>
      <c r="B64" s="22" t="str">
        <f>nsl_list2!B16</f>
        <v>Change 2.jpg</v>
      </c>
      <c r="C64" s="22" t="str">
        <f>foils!F15</f>
        <v>Slåss.mp4</v>
      </c>
      <c r="D64" s="22" t="s">
        <v>232</v>
      </c>
      <c r="E64" s="22" t="s">
        <v>232</v>
      </c>
      <c r="F64" s="22" t="s">
        <v>653</v>
      </c>
      <c r="G64" s="22" t="s">
        <v>231</v>
      </c>
      <c r="H64" s="22">
        <v>62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x14ac:dyDescent="0.2">
      <c r="A65" s="13" t="s">
        <v>230</v>
      </c>
      <c r="B65" s="22" t="str">
        <f>nsl_list2!B17</f>
        <v>Book 2.jpg</v>
      </c>
      <c r="C65" s="22" t="str">
        <f>foils!F16</f>
        <v>Hansker.mp4</v>
      </c>
      <c r="D65" s="22" t="s">
        <v>232</v>
      </c>
      <c r="E65" s="22" t="s">
        <v>232</v>
      </c>
      <c r="F65" s="22" t="s">
        <v>653</v>
      </c>
      <c r="G65" s="22" t="s">
        <v>231</v>
      </c>
      <c r="H65" s="22">
        <v>63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x14ac:dyDescent="0.2">
      <c r="A66" s="13" t="s">
        <v>230</v>
      </c>
      <c r="B66" s="22" t="str">
        <f>nsl_list2!B18</f>
        <v>Coffee 2.jpg</v>
      </c>
      <c r="C66" s="22" t="str">
        <f>foils!F17</f>
        <v>Bo.mp4</v>
      </c>
      <c r="D66" s="22" t="s">
        <v>232</v>
      </c>
      <c r="E66" s="22" t="s">
        <v>232</v>
      </c>
      <c r="F66" s="22" t="s">
        <v>653</v>
      </c>
      <c r="G66" s="22" t="s">
        <v>231</v>
      </c>
      <c r="H66" s="22">
        <v>64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x14ac:dyDescent="0.2">
      <c r="A67" s="13" t="s">
        <v>230</v>
      </c>
      <c r="B67" s="22" t="str">
        <f>nsl_list2!B19</f>
        <v>Cigar 2.jpg</v>
      </c>
      <c r="C67" s="22" t="str">
        <f>foils!F18</f>
        <v>Marsjering.mp4</v>
      </c>
      <c r="D67" s="22" t="s">
        <v>232</v>
      </c>
      <c r="E67" s="22" t="s">
        <v>232</v>
      </c>
      <c r="F67" s="22" t="s">
        <v>653</v>
      </c>
      <c r="G67" s="22" t="s">
        <v>231</v>
      </c>
      <c r="H67" s="22">
        <v>65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x14ac:dyDescent="0.2">
      <c r="A68" s="13" t="s">
        <v>230</v>
      </c>
      <c r="B68" s="22" t="str">
        <f>nsl_list2!B20</f>
        <v>Flower 2.jpg</v>
      </c>
      <c r="C68" s="22" t="str">
        <f>foils!F19</f>
        <v>Bekymre.mp4</v>
      </c>
      <c r="D68" s="22" t="s">
        <v>232</v>
      </c>
      <c r="E68" s="22" t="s">
        <v>232</v>
      </c>
      <c r="F68" s="22" t="s">
        <v>653</v>
      </c>
      <c r="G68" s="22" t="s">
        <v>231</v>
      </c>
      <c r="H68" s="22">
        <v>66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x14ac:dyDescent="0.2">
      <c r="A69" s="13" t="s">
        <v>230</v>
      </c>
      <c r="B69" s="22" t="str">
        <f>nsl_list2!B21</f>
        <v>Metal 1.jpg</v>
      </c>
      <c r="C69" s="22" t="str">
        <f>foils!F20</f>
        <v>Gulv.mp4</v>
      </c>
      <c r="D69" s="22" t="s">
        <v>232</v>
      </c>
      <c r="E69" s="22" t="s">
        <v>232</v>
      </c>
      <c r="F69" s="22" t="s">
        <v>653</v>
      </c>
      <c r="G69" s="22" t="s">
        <v>231</v>
      </c>
      <c r="H69" s="22">
        <v>67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x14ac:dyDescent="0.2">
      <c r="A70" s="13" t="s">
        <v>230</v>
      </c>
      <c r="B70" s="22" t="str">
        <f>nsl_list2!B22</f>
        <v>Telephone 1.jpg</v>
      </c>
      <c r="C70" s="22" t="str">
        <f>foils!F21</f>
        <v>Knyte.mp4</v>
      </c>
      <c r="D70" s="22" t="s">
        <v>232</v>
      </c>
      <c r="E70" s="22" t="s">
        <v>232</v>
      </c>
      <c r="F70" s="22" t="s">
        <v>653</v>
      </c>
      <c r="G70" s="22" t="s">
        <v>231</v>
      </c>
      <c r="H70" s="22">
        <v>68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x14ac:dyDescent="0.2">
      <c r="A71" s="13" t="s">
        <v>230</v>
      </c>
      <c r="B71" s="22" t="str">
        <f>nsl_list2!B23</f>
        <v>Jump 1.jpg</v>
      </c>
      <c r="C71" s="22" t="str">
        <f>foils!F22</f>
        <v>President.mp4</v>
      </c>
      <c r="D71" s="22" t="s">
        <v>232</v>
      </c>
      <c r="E71" s="22" t="s">
        <v>232</v>
      </c>
      <c r="F71" s="22" t="s">
        <v>653</v>
      </c>
      <c r="G71" s="22" t="s">
        <v>231</v>
      </c>
      <c r="H71" s="22">
        <v>69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x14ac:dyDescent="0.2">
      <c r="A72" s="13" t="s">
        <v>230</v>
      </c>
      <c r="B72" s="22" t="str">
        <f>nsl_list2!B24</f>
        <v>Leave 1.jpg</v>
      </c>
      <c r="C72" s="22" t="str">
        <f>foils!F23</f>
        <v>Undervise.mp4</v>
      </c>
      <c r="D72" s="22" t="s">
        <v>232</v>
      </c>
      <c r="E72" s="22" t="s">
        <v>232</v>
      </c>
      <c r="F72" s="22" t="s">
        <v>653</v>
      </c>
      <c r="G72" s="22" t="s">
        <v>231</v>
      </c>
      <c r="H72" s="22">
        <v>70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x14ac:dyDescent="0.2">
      <c r="A73" s="13" t="s">
        <v>230</v>
      </c>
      <c r="B73" s="22" t="str">
        <f>nsl_list2!B25</f>
        <v>Lose 1.jpg</v>
      </c>
      <c r="C73" s="22" t="str">
        <f>foils!F24</f>
        <v>Leir.mp4</v>
      </c>
      <c r="D73" s="22" t="s">
        <v>232</v>
      </c>
      <c r="E73" s="22" t="s">
        <v>232</v>
      </c>
      <c r="F73" s="22" t="s">
        <v>653</v>
      </c>
      <c r="G73" s="22" t="s">
        <v>231</v>
      </c>
      <c r="H73" s="22">
        <v>71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x14ac:dyDescent="0.2">
      <c r="A74" s="13" t="s">
        <v>230</v>
      </c>
      <c r="B74" s="22" t="str">
        <f>nsl_list2!B26</f>
        <v>Take 1.jpg</v>
      </c>
      <c r="C74" s="22" t="str">
        <f>foils!F25</f>
        <v>Rive.mp4</v>
      </c>
      <c r="D74" s="22" t="s">
        <v>232</v>
      </c>
      <c r="E74" s="22" t="s">
        <v>232</v>
      </c>
      <c r="F74" s="22" t="s">
        <v>653</v>
      </c>
      <c r="G74" s="22" t="s">
        <v>231</v>
      </c>
      <c r="H74" s="22">
        <v>72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x14ac:dyDescent="0.2">
      <c r="A75" s="13" t="s">
        <v>230</v>
      </c>
      <c r="B75" s="22" t="str">
        <f>nsl_list2!B27</f>
        <v>Frog 2.jpg</v>
      </c>
      <c r="C75" s="22" t="str">
        <f>foils!F26</f>
        <v>Maskin.mp4</v>
      </c>
      <c r="D75" s="22" t="s">
        <v>232</v>
      </c>
      <c r="E75" s="22" t="s">
        <v>232</v>
      </c>
      <c r="F75" s="22" t="s">
        <v>653</v>
      </c>
      <c r="G75" s="22" t="s">
        <v>231</v>
      </c>
      <c r="H75" s="22">
        <v>73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x14ac:dyDescent="0.2">
      <c r="A76" s="13" t="s">
        <v>230</v>
      </c>
      <c r="B76" s="22" t="str">
        <f>nsl_list2!B28</f>
        <v>Gorilla 2.jpg</v>
      </c>
      <c r="C76" s="22" t="str">
        <f>foils!F27</f>
        <v>Lage.mp4</v>
      </c>
      <c r="D76" s="22" t="s">
        <v>232</v>
      </c>
      <c r="E76" s="22" t="s">
        <v>232</v>
      </c>
      <c r="F76" s="22" t="s">
        <v>653</v>
      </c>
      <c r="G76" s="22" t="s">
        <v>231</v>
      </c>
      <c r="H76" s="22">
        <v>74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x14ac:dyDescent="0.2">
      <c r="A77" s="13" t="s">
        <v>230</v>
      </c>
      <c r="B77" s="22" t="str">
        <f>nsl_list2!B29</f>
        <v>Come 2.jpg</v>
      </c>
      <c r="C77" s="22" t="str">
        <f>foils!F28</f>
        <v>Spise.mp4</v>
      </c>
      <c r="D77" s="22" t="s">
        <v>232</v>
      </c>
      <c r="E77" s="22" t="s">
        <v>232</v>
      </c>
      <c r="F77" s="22" t="s">
        <v>653</v>
      </c>
      <c r="G77" s="22" t="s">
        <v>231</v>
      </c>
      <c r="H77" s="22">
        <v>75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x14ac:dyDescent="0.2">
      <c r="A78" s="13" t="s">
        <v>230</v>
      </c>
      <c r="B78" s="22" t="str">
        <f>nsl_list2!B30</f>
        <v>Sail 2.jpg</v>
      </c>
      <c r="C78" s="22" t="str">
        <f>foils!F29</f>
        <v>Foredrag.mp4</v>
      </c>
      <c r="D78" s="22" t="s">
        <v>232</v>
      </c>
      <c r="E78" s="22" t="s">
        <v>232</v>
      </c>
      <c r="F78" s="22" t="s">
        <v>653</v>
      </c>
      <c r="G78" s="22" t="s">
        <v>231</v>
      </c>
      <c r="H78" s="22">
        <v>76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x14ac:dyDescent="0.2">
      <c r="A79" s="13" t="s">
        <v>230</v>
      </c>
      <c r="B79" s="22" t="str">
        <f>nsl_list2!B31</f>
        <v>Travel 2.jpg</v>
      </c>
      <c r="C79" s="22" t="str">
        <f>foils!F30</f>
        <v>Venn.mp4</v>
      </c>
      <c r="D79" s="22" t="s">
        <v>232</v>
      </c>
      <c r="E79" s="22" t="s">
        <v>232</v>
      </c>
      <c r="F79" s="22" t="s">
        <v>653</v>
      </c>
      <c r="G79" s="22" t="s">
        <v>231</v>
      </c>
      <c r="H79" s="22">
        <v>77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x14ac:dyDescent="0.2">
      <c r="A80" s="13" t="s">
        <v>230</v>
      </c>
      <c r="B80" s="22" t="str">
        <f>nsl_list2!B32</f>
        <v>Doubt 2.jpg</v>
      </c>
      <c r="C80" s="22" t="str">
        <f>foils!F31</f>
        <v>Gå.mp4</v>
      </c>
      <c r="D80" s="22" t="s">
        <v>232</v>
      </c>
      <c r="E80" s="22" t="s">
        <v>232</v>
      </c>
      <c r="F80" s="22" t="s">
        <v>653</v>
      </c>
      <c r="G80" s="22" t="s">
        <v>231</v>
      </c>
      <c r="H80" s="22">
        <v>78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2">
      <c r="A81" s="13" t="s">
        <v>230</v>
      </c>
      <c r="B81" s="22" t="str">
        <f>nsl_list2!B33</f>
        <v>Play 1.jpg</v>
      </c>
      <c r="C81" s="22" t="str">
        <f>foils!F32</f>
        <v>Helse.mp4</v>
      </c>
      <c r="D81" s="22" t="s">
        <v>232</v>
      </c>
      <c r="E81" s="22" t="s">
        <v>232</v>
      </c>
      <c r="F81" s="22" t="s">
        <v>653</v>
      </c>
      <c r="G81" s="22" t="s">
        <v>231</v>
      </c>
      <c r="H81" s="22">
        <v>79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x14ac:dyDescent="0.2">
      <c r="A82" s="13" t="s">
        <v>230</v>
      </c>
      <c r="B82" s="22" t="str">
        <f>nsl_list2!B34</f>
        <v>Engagement 1.jpg</v>
      </c>
      <c r="C82" s="22" t="str">
        <f>foils!F33</f>
        <v>Le.mp4</v>
      </c>
      <c r="D82" s="22" t="s">
        <v>232</v>
      </c>
      <c r="E82" s="22" t="s">
        <v>232</v>
      </c>
      <c r="F82" s="22" t="s">
        <v>653</v>
      </c>
      <c r="G82" s="22" t="s">
        <v>231</v>
      </c>
      <c r="H82" s="22">
        <v>80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x14ac:dyDescent="0.2">
      <c r="A83" s="13" t="s">
        <v>230</v>
      </c>
      <c r="B83" s="22" t="str">
        <f>nsl_list2!B35</f>
        <v>Color 1.jpg</v>
      </c>
      <c r="C83" s="22" t="str">
        <f>foils!F34</f>
        <v>Møte.mp4</v>
      </c>
      <c r="D83" s="22" t="s">
        <v>232</v>
      </c>
      <c r="E83" s="22" t="s">
        <v>232</v>
      </c>
      <c r="F83" s="22" t="s">
        <v>653</v>
      </c>
      <c r="G83" s="22" t="s">
        <v>231</v>
      </c>
      <c r="H83" s="22">
        <v>81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x14ac:dyDescent="0.2">
      <c r="A84" s="13" t="s">
        <v>230</v>
      </c>
      <c r="B84" s="22" t="str">
        <f>nsl_list2!B36</f>
        <v>East 1.jpg</v>
      </c>
      <c r="C84" s="22" t="str">
        <f>foils!F35</f>
        <v>Sove.mp4</v>
      </c>
      <c r="D84" s="22" t="s">
        <v>232</v>
      </c>
      <c r="E84" s="22" t="s">
        <v>232</v>
      </c>
      <c r="F84" s="22" t="s">
        <v>653</v>
      </c>
      <c r="G84" s="22" t="s">
        <v>231</v>
      </c>
      <c r="H84" s="22">
        <v>82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x14ac:dyDescent="0.2">
      <c r="A85" s="13" t="s">
        <v>230</v>
      </c>
      <c r="B85" s="22" t="str">
        <f>nsl_list2!B37</f>
        <v>School 1.jpg</v>
      </c>
      <c r="C85" s="22" t="str">
        <f>foils!F36</f>
        <v>Medisin.mp4</v>
      </c>
      <c r="D85" s="22" t="s">
        <v>232</v>
      </c>
      <c r="E85" s="22" t="s">
        <v>232</v>
      </c>
      <c r="F85" s="22" t="s">
        <v>653</v>
      </c>
      <c r="G85" s="22" t="s">
        <v>231</v>
      </c>
      <c r="H85" s="22">
        <v>83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x14ac:dyDescent="0.2">
      <c r="A86" s="13" t="s">
        <v>230</v>
      </c>
      <c r="B86" s="22" t="str">
        <f>nsl_list2!B38</f>
        <v>Pain 1.jpg</v>
      </c>
      <c r="C86" s="22" t="str">
        <f>foils!F37</f>
        <v>Kaste.mp4</v>
      </c>
      <c r="D86" s="22" t="s">
        <v>232</v>
      </c>
      <c r="E86" s="22" t="s">
        <v>232</v>
      </c>
      <c r="F86" s="22" t="s">
        <v>653</v>
      </c>
      <c r="G86" s="22" t="s">
        <v>231</v>
      </c>
      <c r="H86" s="22">
        <v>84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x14ac:dyDescent="0.2">
      <c r="A87" s="13" t="s">
        <v>230</v>
      </c>
      <c r="B87" s="22" t="str">
        <f>nsl_list2!B39</f>
        <v>Cabbage 2.jpg</v>
      </c>
      <c r="C87" s="22" t="str">
        <f>foils!F38</f>
        <v>Brann.mp4</v>
      </c>
      <c r="D87" s="22" t="s">
        <v>232</v>
      </c>
      <c r="E87" s="22" t="s">
        <v>232</v>
      </c>
      <c r="F87" s="22" t="s">
        <v>653</v>
      </c>
      <c r="G87" s="22" t="s">
        <v>231</v>
      </c>
      <c r="H87" s="22">
        <v>85</v>
      </c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x14ac:dyDescent="0.2">
      <c r="A88" s="13" t="s">
        <v>230</v>
      </c>
      <c r="B88" s="22" t="str">
        <f>nsl_list2!B40</f>
        <v>Doll 2.jpg</v>
      </c>
      <c r="C88" s="22" t="str">
        <f>foils!F39</f>
        <v>Fornærme.mp4</v>
      </c>
      <c r="D88" s="22" t="s">
        <v>232</v>
      </c>
      <c r="E88" s="22" t="s">
        <v>232</v>
      </c>
      <c r="F88" s="22" t="s">
        <v>653</v>
      </c>
      <c r="G88" s="22" t="s">
        <v>231</v>
      </c>
      <c r="H88" s="22">
        <v>86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x14ac:dyDescent="0.2">
      <c r="A89" s="13" t="s">
        <v>230</v>
      </c>
      <c r="B89" s="22" t="str">
        <f>nsl_list2!B41</f>
        <v>Magazine 2.jpg</v>
      </c>
      <c r="C89" s="22" t="str">
        <f>foils!F40</f>
        <v>Diplom.mp4</v>
      </c>
      <c r="D89" s="22" t="s">
        <v>232</v>
      </c>
      <c r="E89" s="22" t="s">
        <v>232</v>
      </c>
      <c r="F89" s="22" t="s">
        <v>653</v>
      </c>
      <c r="G89" s="22" t="s">
        <v>231</v>
      </c>
      <c r="H89" s="22">
        <v>87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x14ac:dyDescent="0.2">
      <c r="A90" s="13" t="s">
        <v>230</v>
      </c>
      <c r="B90" s="22" t="str">
        <f>nsl_list2!B42</f>
        <v>Ring 2.jpg</v>
      </c>
      <c r="C90" s="22" t="str">
        <f>foils!F41</f>
        <v>Sitte.mp4</v>
      </c>
      <c r="D90" s="22" t="s">
        <v>232</v>
      </c>
      <c r="E90" s="22" t="s">
        <v>232</v>
      </c>
      <c r="F90" s="22" t="s">
        <v>653</v>
      </c>
      <c r="G90" s="22" t="s">
        <v>231</v>
      </c>
      <c r="H90" s="22">
        <v>88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x14ac:dyDescent="0.2">
      <c r="A91" s="13" t="s">
        <v>230</v>
      </c>
      <c r="B91" s="22" t="str">
        <f>nsl_list2!B43</f>
        <v>Salt 2.jpg</v>
      </c>
      <c r="C91" s="22" t="str">
        <f>foils!F42</f>
        <v>Koke.mp4</v>
      </c>
      <c r="D91" s="22" t="s">
        <v>232</v>
      </c>
      <c r="E91" s="22" t="s">
        <v>232</v>
      </c>
      <c r="F91" s="22" t="s">
        <v>653</v>
      </c>
      <c r="G91" s="22" t="s">
        <v>231</v>
      </c>
      <c r="H91" s="22">
        <v>89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x14ac:dyDescent="0.2">
      <c r="A92" s="13" t="s">
        <v>230</v>
      </c>
      <c r="B92" s="22" t="str">
        <f>nsl_list2!B44</f>
        <v>Sneeze 2.jpg</v>
      </c>
      <c r="C92" s="22" t="str">
        <f>foils!F43</f>
        <v>Mikrobølgeovn.mp4</v>
      </c>
      <c r="D92" s="22" t="s">
        <v>232</v>
      </c>
      <c r="E92" s="22" t="s">
        <v>232</v>
      </c>
      <c r="F92" s="22" t="s">
        <v>653</v>
      </c>
      <c r="G92" s="22" t="s">
        <v>231</v>
      </c>
      <c r="H92" s="22">
        <v>90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x14ac:dyDescent="0.2">
      <c r="A93" s="13" t="s">
        <v>230</v>
      </c>
      <c r="B93" s="22" t="str">
        <f>nsl_list2!B45</f>
        <v>Try 1.jpg</v>
      </c>
      <c r="C93" s="22" t="str">
        <f>foils!F44</f>
        <v>Bruke.mp4</v>
      </c>
      <c r="D93" s="22" t="s">
        <v>232</v>
      </c>
      <c r="E93" s="22" t="s">
        <v>232</v>
      </c>
      <c r="F93" s="22" t="s">
        <v>653</v>
      </c>
      <c r="G93" s="22" t="s">
        <v>231</v>
      </c>
      <c r="H93" s="22">
        <v>91</v>
      </c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x14ac:dyDescent="0.2">
      <c r="A94" s="13" t="s">
        <v>230</v>
      </c>
      <c r="B94" s="22" t="str">
        <f>nsl_list2!B46</f>
        <v>Wait 1.jpg</v>
      </c>
      <c r="C94" s="22" t="str">
        <f>foils!F45</f>
        <v>Kvinne.mp4</v>
      </c>
      <c r="D94" s="22" t="s">
        <v>232</v>
      </c>
      <c r="E94" s="22" t="s">
        <v>232</v>
      </c>
      <c r="F94" s="22" t="s">
        <v>653</v>
      </c>
      <c r="G94" s="22" t="s">
        <v>231</v>
      </c>
      <c r="H94" s="22">
        <v>92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x14ac:dyDescent="0.2">
      <c r="A95" s="13" t="s">
        <v>230</v>
      </c>
      <c r="B95" s="22" t="str">
        <f>nsl_list2!B47</f>
        <v>Call 1.jpg</v>
      </c>
      <c r="C95" s="22" t="str">
        <f>foils!F46</f>
        <v>Kano.mp4</v>
      </c>
      <c r="D95" s="22" t="s">
        <v>232</v>
      </c>
      <c r="E95" s="22" t="s">
        <v>232</v>
      </c>
      <c r="F95" s="22" t="s">
        <v>653</v>
      </c>
      <c r="G95" s="22" t="s">
        <v>231</v>
      </c>
      <c r="H95" s="22">
        <v>93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x14ac:dyDescent="0.2">
      <c r="A96" s="13" t="s">
        <v>230</v>
      </c>
      <c r="B96" s="22" t="str">
        <f>nsl_list2!B48</f>
        <v>Choose 1.jpg</v>
      </c>
      <c r="C96" s="22" t="str">
        <f>foils!F47</f>
        <v>Kysse.mp4</v>
      </c>
      <c r="D96" s="22" t="s">
        <v>232</v>
      </c>
      <c r="E96" s="22" t="s">
        <v>232</v>
      </c>
      <c r="F96" s="22" t="s">
        <v>653</v>
      </c>
      <c r="G96" s="22" t="s">
        <v>231</v>
      </c>
      <c r="H96" s="22">
        <v>94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x14ac:dyDescent="0.2">
      <c r="A97" s="13" t="s">
        <v>230</v>
      </c>
      <c r="B97" s="22" t="str">
        <f>nsl_list2!B49</f>
        <v>Show 1.jpg</v>
      </c>
      <c r="C97" s="22" t="str">
        <f>foils!F48</f>
        <v>Dyr.mp4</v>
      </c>
      <c r="D97" s="22" t="s">
        <v>232</v>
      </c>
      <c r="E97" s="22" t="s">
        <v>232</v>
      </c>
      <c r="F97" s="22" t="s">
        <v>653</v>
      </c>
      <c r="G97" s="22" t="s">
        <v>231</v>
      </c>
      <c r="H97" s="22">
        <v>95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x14ac:dyDescent="0.2">
      <c r="A98" s="13" t="s">
        <v>230</v>
      </c>
      <c r="B98" s="22" t="str">
        <f>nsl_list2!B50</f>
        <v>Write 1.jpg</v>
      </c>
      <c r="C98" s="22" t="str">
        <f>foils!F49</f>
        <v>Håpe.mp4</v>
      </c>
      <c r="D98" s="22" t="s">
        <v>232</v>
      </c>
      <c r="E98" s="22" t="s">
        <v>232</v>
      </c>
      <c r="F98" s="22" t="s">
        <v>653</v>
      </c>
      <c r="G98" s="22" t="s">
        <v>231</v>
      </c>
      <c r="H98" s="22">
        <v>96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x14ac:dyDescent="0.2">
      <c r="A99" s="22" t="s">
        <v>654</v>
      </c>
      <c r="B99" s="22"/>
      <c r="C99" s="22">
        <f>foils!F50</f>
        <v>0</v>
      </c>
      <c r="D99" s="22"/>
      <c r="E99" s="22"/>
      <c r="F99" s="22"/>
      <c r="G99" s="22"/>
      <c r="H99" s="22"/>
      <c r="I99" s="22"/>
      <c r="J99" s="22"/>
      <c r="K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spans="1:30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spans="1:30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spans="1:30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spans="1:30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spans="1:30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spans="1:30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spans="1:30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spans="1:30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spans="1:30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spans="1:30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spans="1:30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spans="1:30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spans="1:30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spans="1:30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spans="1:30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spans="1:30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spans="1:30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spans="1:30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spans="1:30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spans="1:30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spans="1:30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spans="1:30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spans="1:30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spans="1:30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spans="1:30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spans="1:30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spans="1:30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spans="1:30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spans="1:30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spans="1:30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spans="1:30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spans="1:30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spans="1:30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spans="1:30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spans="1:30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spans="1:30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spans="1:30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spans="1:30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spans="1:30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spans="1:30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spans="1:30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spans="1:30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spans="1:30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spans="1:30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spans="1:30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spans="1:30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spans="1:30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spans="1:30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spans="1:30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spans="1:30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spans="1:30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spans="1:30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spans="1:30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spans="1:30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spans="1:30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spans="1:30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spans="1:30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spans="1:30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spans="1:30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spans="1:30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spans="1:30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x14ac:dyDescent="0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x14ac:dyDescent="0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x14ac:dyDescent="0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x14ac:dyDescent="0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x14ac:dyDescent="0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x14ac:dyDescent="0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x14ac:dyDescent="0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x14ac:dyDescent="0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x14ac:dyDescent="0.2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sheetData>
    <row r="1" spans="1:30" x14ac:dyDescent="0.2">
      <c r="A1" s="2" t="s">
        <v>393</v>
      </c>
      <c r="B1" s="2" t="s">
        <v>643</v>
      </c>
      <c r="C1" s="27" t="s">
        <v>644</v>
      </c>
      <c r="D1" s="2" t="s">
        <v>645</v>
      </c>
      <c r="E1" s="2" t="s">
        <v>646</v>
      </c>
      <c r="F1" s="2" t="s">
        <v>397</v>
      </c>
      <c r="G1" s="2" t="s">
        <v>2</v>
      </c>
      <c r="H1" s="2" t="s">
        <v>647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">
      <c r="A2" s="22" t="s">
        <v>648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">
      <c r="A3" s="22" t="s">
        <v>38</v>
      </c>
      <c r="B3" s="22" t="str">
        <f t="shared" ref="B3:B50" si="0">IF(D3="same",CONCATENATE(PROPER(G3)," ","1.jpg"),IF(D3="different",CONCATENATE(PROPER(G3)," ","2.jpg")))</f>
        <v>Boy 2.jpg</v>
      </c>
      <c r="C3" s="22" t="str">
        <f>masterlist!D2</f>
        <v>Gutt.mp4</v>
      </c>
      <c r="D3" s="22" t="s">
        <v>232</v>
      </c>
      <c r="E3" s="22" t="s">
        <v>649</v>
      </c>
      <c r="F3" s="22" t="s">
        <v>650</v>
      </c>
      <c r="G3" s="22" t="str">
        <f>masterlist!C2</f>
        <v>boy</v>
      </c>
      <c r="H3" s="22">
        <v>1</v>
      </c>
      <c r="I3" s="22" t="s">
        <v>651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">
      <c r="A4" s="22" t="s">
        <v>38</v>
      </c>
      <c r="B4" s="22" t="str">
        <f t="shared" si="0"/>
        <v>Children 2.jpg</v>
      </c>
      <c r="C4" s="22" t="str">
        <f>masterlist!D3</f>
        <v>Barn.mp4</v>
      </c>
      <c r="D4" s="22" t="s">
        <v>232</v>
      </c>
      <c r="E4" s="22" t="s">
        <v>649</v>
      </c>
      <c r="F4" s="22" t="s">
        <v>650</v>
      </c>
      <c r="G4" s="22" t="str">
        <f>masterlist!C3</f>
        <v>children</v>
      </c>
      <c r="H4" s="22">
        <v>2</v>
      </c>
      <c r="I4" s="22" t="s">
        <v>651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">
      <c r="A5" s="22" t="s">
        <v>38</v>
      </c>
      <c r="B5" s="22" t="str">
        <f t="shared" si="0"/>
        <v>Eagle 2.jpg</v>
      </c>
      <c r="C5" s="22" t="str">
        <f>masterlist!D4</f>
        <v>Ørn.mp4</v>
      </c>
      <c r="D5" s="22" t="s">
        <v>232</v>
      </c>
      <c r="E5" s="22" t="s">
        <v>649</v>
      </c>
      <c r="F5" s="22" t="s">
        <v>650</v>
      </c>
      <c r="G5" s="22" t="str">
        <f>masterlist!C4</f>
        <v>eagle</v>
      </c>
      <c r="H5" s="22">
        <v>3</v>
      </c>
      <c r="I5" s="22" t="s">
        <v>651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">
      <c r="A6" s="22" t="s">
        <v>38</v>
      </c>
      <c r="B6" s="22" t="str">
        <f t="shared" si="0"/>
        <v>Family 2.jpg</v>
      </c>
      <c r="C6" s="22" t="str">
        <f>masterlist!D5</f>
        <v>Familie.mp4</v>
      </c>
      <c r="D6" s="22" t="s">
        <v>232</v>
      </c>
      <c r="E6" s="22" t="s">
        <v>649</v>
      </c>
      <c r="F6" s="22" t="s">
        <v>650</v>
      </c>
      <c r="G6" s="22" t="str">
        <f>masterlist!C5</f>
        <v>family</v>
      </c>
      <c r="H6" s="22">
        <v>4</v>
      </c>
      <c r="I6" s="22" t="s">
        <v>651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">
      <c r="A7" s="22" t="s">
        <v>38</v>
      </c>
      <c r="B7" s="22" t="str">
        <f t="shared" si="0"/>
        <v>Breathe 2.jpg</v>
      </c>
      <c r="C7" s="22" t="str">
        <f>masterlist!D6</f>
        <v>Puste.mp4</v>
      </c>
      <c r="D7" s="22" t="s">
        <v>232</v>
      </c>
      <c r="E7" s="22" t="s">
        <v>649</v>
      </c>
      <c r="F7" s="22" t="s">
        <v>650</v>
      </c>
      <c r="G7" s="22" t="str">
        <f>masterlist!C6</f>
        <v>breathe</v>
      </c>
      <c r="H7" s="22">
        <v>5</v>
      </c>
      <c r="I7" s="22" t="s">
        <v>651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">
      <c r="A8" s="22" t="s">
        <v>38</v>
      </c>
      <c r="B8" s="22" t="str">
        <f t="shared" si="0"/>
        <v>Cry 2.jpg</v>
      </c>
      <c r="C8" s="22" t="str">
        <f>masterlist!D7</f>
        <v>Gråte.mp4</v>
      </c>
      <c r="D8" s="22" t="s">
        <v>232</v>
      </c>
      <c r="E8" s="22" t="s">
        <v>649</v>
      </c>
      <c r="F8" s="22" t="s">
        <v>650</v>
      </c>
      <c r="G8" s="22" t="str">
        <f>masterlist!C7</f>
        <v>cry</v>
      </c>
      <c r="H8" s="22">
        <v>6</v>
      </c>
      <c r="I8" s="22" t="s">
        <v>651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">
      <c r="A9" s="22" t="s">
        <v>38</v>
      </c>
      <c r="B9" s="22" t="str">
        <f t="shared" si="0"/>
        <v>Run 1.jpg</v>
      </c>
      <c r="C9" s="22" t="str">
        <f>masterlist!D8</f>
        <v>Løpe.mp4</v>
      </c>
      <c r="D9" s="22" t="s">
        <v>649</v>
      </c>
      <c r="E9" s="22" t="s">
        <v>649</v>
      </c>
      <c r="F9" s="22" t="s">
        <v>650</v>
      </c>
      <c r="G9" s="22" t="str">
        <f>masterlist!C8</f>
        <v>run</v>
      </c>
      <c r="H9" s="22">
        <v>7</v>
      </c>
      <c r="I9" s="22" t="s">
        <v>651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">
      <c r="A10" s="22" t="s">
        <v>38</v>
      </c>
      <c r="B10" s="22" t="str">
        <f t="shared" si="0"/>
        <v>Sing 1.jpg</v>
      </c>
      <c r="C10" s="22" t="str">
        <f>masterlist!D9</f>
        <v>Synge.mp4</v>
      </c>
      <c r="D10" s="22" t="s">
        <v>649</v>
      </c>
      <c r="E10" s="22" t="s">
        <v>649</v>
      </c>
      <c r="F10" s="22" t="s">
        <v>650</v>
      </c>
      <c r="G10" s="22" t="str">
        <f>masterlist!C9</f>
        <v>sing</v>
      </c>
      <c r="H10" s="22">
        <v>8</v>
      </c>
      <c r="I10" s="22" t="s">
        <v>651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">
      <c r="A11" s="22" t="s">
        <v>38</v>
      </c>
      <c r="B11" s="22" t="str">
        <f t="shared" si="0"/>
        <v>Think 1.jpg</v>
      </c>
      <c r="C11" s="22" t="str">
        <f>masterlist!D10</f>
        <v>Tror.mp4</v>
      </c>
      <c r="D11" s="22" t="s">
        <v>649</v>
      </c>
      <c r="E11" s="22" t="s">
        <v>649</v>
      </c>
      <c r="F11" s="22" t="s">
        <v>650</v>
      </c>
      <c r="G11" s="22" t="str">
        <f>masterlist!C10</f>
        <v>think</v>
      </c>
      <c r="H11" s="22">
        <v>9</v>
      </c>
      <c r="I11" s="22" t="s">
        <v>651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">
      <c r="A12" s="22" t="s">
        <v>38</v>
      </c>
      <c r="B12" s="22" t="str">
        <f t="shared" si="0"/>
        <v>Paint 1.jpg</v>
      </c>
      <c r="C12" s="22" t="str">
        <f>masterlist!D11</f>
        <v>Male.mp4</v>
      </c>
      <c r="D12" s="22" t="s">
        <v>649</v>
      </c>
      <c r="E12" s="22" t="s">
        <v>649</v>
      </c>
      <c r="F12" s="22" t="s">
        <v>650</v>
      </c>
      <c r="G12" s="22" t="str">
        <f>masterlist!C11</f>
        <v>paint</v>
      </c>
      <c r="H12" s="22">
        <v>10</v>
      </c>
      <c r="I12" s="22" t="s">
        <v>651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">
      <c r="A13" s="22" t="s">
        <v>38</v>
      </c>
      <c r="B13" s="22" t="str">
        <f t="shared" si="0"/>
        <v>Watch 1.jpg</v>
      </c>
      <c r="C13" s="22" t="str">
        <f>masterlist!D12</f>
        <v>Se-på.mp4</v>
      </c>
      <c r="D13" s="22" t="s">
        <v>649</v>
      </c>
      <c r="E13" s="22" t="s">
        <v>649</v>
      </c>
      <c r="F13" s="22" t="s">
        <v>650</v>
      </c>
      <c r="G13" s="22" t="str">
        <f>masterlist!C12</f>
        <v>watch</v>
      </c>
      <c r="H13" s="22">
        <v>11</v>
      </c>
      <c r="I13" s="22" t="s">
        <v>651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">
      <c r="A14" s="22" t="s">
        <v>38</v>
      </c>
      <c r="B14" s="22" t="str">
        <f t="shared" si="0"/>
        <v>Write 1.jpg</v>
      </c>
      <c r="C14" s="22" t="str">
        <f>masterlist!D13</f>
        <v>Skrive.mp4</v>
      </c>
      <c r="D14" s="22" t="s">
        <v>649</v>
      </c>
      <c r="E14" s="22" t="s">
        <v>649</v>
      </c>
      <c r="F14" s="22" t="s">
        <v>650</v>
      </c>
      <c r="G14" s="22" t="str">
        <f>masterlist!C13</f>
        <v>write</v>
      </c>
      <c r="H14" s="22">
        <v>12</v>
      </c>
      <c r="I14" s="22" t="s">
        <v>651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">
      <c r="A15" s="22" t="s">
        <v>38</v>
      </c>
      <c r="B15" s="22" t="str">
        <f t="shared" si="0"/>
        <v>Beauty 2.jpg</v>
      </c>
      <c r="C15" s="22" t="str">
        <f>masterlist!D14</f>
        <v>Pen.mp4</v>
      </c>
      <c r="D15" s="22" t="s">
        <v>232</v>
      </c>
      <c r="E15" s="22" t="s">
        <v>649</v>
      </c>
      <c r="F15" s="22" t="s">
        <v>650</v>
      </c>
      <c r="G15" s="22" t="str">
        <f>masterlist!C14</f>
        <v>beauty</v>
      </c>
      <c r="H15" s="22">
        <v>13</v>
      </c>
      <c r="I15" s="22" t="s">
        <v>651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">
      <c r="A16" s="22" t="s">
        <v>38</v>
      </c>
      <c r="B16" s="22" t="str">
        <f t="shared" si="0"/>
        <v>Change 2.jpg</v>
      </c>
      <c r="C16" s="22" t="str">
        <f>masterlist!D15</f>
        <v>Endring.mp4</v>
      </c>
      <c r="D16" s="22" t="s">
        <v>232</v>
      </c>
      <c r="E16" s="22" t="s">
        <v>649</v>
      </c>
      <c r="F16" s="22" t="s">
        <v>650</v>
      </c>
      <c r="G16" s="22" t="str">
        <f>masterlist!C15</f>
        <v>change</v>
      </c>
      <c r="H16" s="22">
        <v>14</v>
      </c>
      <c r="I16" s="22" t="s">
        <v>651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">
      <c r="A17" s="22" t="s">
        <v>38</v>
      </c>
      <c r="B17" s="22" t="str">
        <f t="shared" si="0"/>
        <v>Book 2.jpg</v>
      </c>
      <c r="C17" s="22" t="str">
        <f>masterlist!D16</f>
        <v>Bok.mp4</v>
      </c>
      <c r="D17" s="22" t="s">
        <v>232</v>
      </c>
      <c r="E17" s="22" t="s">
        <v>649</v>
      </c>
      <c r="F17" s="22" t="s">
        <v>650</v>
      </c>
      <c r="G17" s="22" t="str">
        <f>masterlist!C16</f>
        <v>book</v>
      </c>
      <c r="H17" s="22">
        <v>15</v>
      </c>
      <c r="I17" s="22" t="s">
        <v>651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">
      <c r="A18" s="22" t="s">
        <v>38</v>
      </c>
      <c r="B18" s="22" t="str">
        <f t="shared" si="0"/>
        <v>Coffee 2.jpg</v>
      </c>
      <c r="C18" s="22" t="str">
        <f>masterlist!D17</f>
        <v>Kaffe.mp4</v>
      </c>
      <c r="D18" s="22" t="s">
        <v>232</v>
      </c>
      <c r="E18" s="22" t="s">
        <v>649</v>
      </c>
      <c r="F18" s="22" t="s">
        <v>650</v>
      </c>
      <c r="G18" s="22" t="str">
        <f>masterlist!C17</f>
        <v>coffee</v>
      </c>
      <c r="H18" s="22">
        <v>16</v>
      </c>
      <c r="I18" s="22" t="s">
        <v>651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">
      <c r="A19" s="22" t="s">
        <v>38</v>
      </c>
      <c r="B19" s="22" t="str">
        <f t="shared" si="0"/>
        <v>Cigar 2.jpg</v>
      </c>
      <c r="C19" s="22" t="str">
        <f>masterlist!D18</f>
        <v>Sigar.mp4</v>
      </c>
      <c r="D19" s="22" t="s">
        <v>232</v>
      </c>
      <c r="E19" s="22" t="s">
        <v>649</v>
      </c>
      <c r="F19" s="22" t="s">
        <v>650</v>
      </c>
      <c r="G19" s="22" t="str">
        <f>masterlist!C18</f>
        <v>cigar</v>
      </c>
      <c r="H19" s="22">
        <v>17</v>
      </c>
      <c r="I19" s="22" t="s">
        <v>651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">
      <c r="A20" s="22" t="s">
        <v>38</v>
      </c>
      <c r="B20" s="22" t="str">
        <f t="shared" si="0"/>
        <v>Flower 2.jpg</v>
      </c>
      <c r="C20" s="22" t="str">
        <f>masterlist!D19</f>
        <v>Blomst.mp4</v>
      </c>
      <c r="D20" s="22" t="s">
        <v>232</v>
      </c>
      <c r="E20" s="22" t="s">
        <v>649</v>
      </c>
      <c r="F20" s="22" t="s">
        <v>650</v>
      </c>
      <c r="G20" s="22" t="str">
        <f>masterlist!C19</f>
        <v>flower</v>
      </c>
      <c r="H20" s="22">
        <v>18</v>
      </c>
      <c r="I20" s="22" t="s">
        <v>651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">
      <c r="A21" s="22" t="s">
        <v>38</v>
      </c>
      <c r="B21" s="22" t="str">
        <f t="shared" si="0"/>
        <v>Metal 1.jpg</v>
      </c>
      <c r="C21" s="22" t="str">
        <f>masterlist!D20</f>
        <v>Metall.mp4</v>
      </c>
      <c r="D21" s="22" t="s">
        <v>649</v>
      </c>
      <c r="E21" s="22" t="s">
        <v>649</v>
      </c>
      <c r="F21" s="22" t="s">
        <v>650</v>
      </c>
      <c r="G21" s="22" t="str">
        <f>masterlist!C20</f>
        <v>metal</v>
      </c>
      <c r="H21" s="22">
        <v>19</v>
      </c>
      <c r="I21" s="22" t="s">
        <v>651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">
      <c r="A22" s="22" t="s">
        <v>38</v>
      </c>
      <c r="B22" s="22" t="str">
        <f t="shared" si="0"/>
        <v>Telephone 1.jpg</v>
      </c>
      <c r="C22" s="22" t="str">
        <f>masterlist!D21</f>
        <v>Telefon.mp4</v>
      </c>
      <c r="D22" s="22" t="s">
        <v>649</v>
      </c>
      <c r="E22" s="22" t="s">
        <v>649</v>
      </c>
      <c r="F22" s="22" t="s">
        <v>650</v>
      </c>
      <c r="G22" s="22" t="str">
        <f>masterlist!C21</f>
        <v>telephone</v>
      </c>
      <c r="H22" s="22">
        <v>20</v>
      </c>
      <c r="I22" s="22" t="s">
        <v>651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">
      <c r="A23" s="22" t="s">
        <v>38</v>
      </c>
      <c r="B23" s="22" t="str">
        <f t="shared" si="0"/>
        <v>Jump 1.jpg</v>
      </c>
      <c r="C23" s="22" t="str">
        <f>masterlist!D22</f>
        <v>Hoppe.mp4</v>
      </c>
      <c r="D23" s="22" t="s">
        <v>649</v>
      </c>
      <c r="E23" s="22" t="s">
        <v>649</v>
      </c>
      <c r="F23" s="22" t="s">
        <v>650</v>
      </c>
      <c r="G23" s="22" t="str">
        <f>masterlist!C22</f>
        <v>jump</v>
      </c>
      <c r="H23" s="22">
        <v>21</v>
      </c>
      <c r="I23" s="22" t="s">
        <v>651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">
      <c r="A24" s="22" t="s">
        <v>38</v>
      </c>
      <c r="B24" s="22" t="str">
        <f t="shared" si="0"/>
        <v>Leave 1.jpg</v>
      </c>
      <c r="C24" s="22" t="str">
        <f>masterlist!D23</f>
        <v>Stikke-av.mp4</v>
      </c>
      <c r="D24" s="22" t="s">
        <v>649</v>
      </c>
      <c r="E24" s="22" t="s">
        <v>649</v>
      </c>
      <c r="F24" s="22" t="s">
        <v>650</v>
      </c>
      <c r="G24" s="22" t="str">
        <f>masterlist!C23</f>
        <v>leave</v>
      </c>
      <c r="H24" s="22">
        <v>22</v>
      </c>
      <c r="I24" s="22" t="s">
        <v>651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">
      <c r="A25" s="22" t="s">
        <v>38</v>
      </c>
      <c r="B25" s="22" t="str">
        <f t="shared" si="0"/>
        <v>Lose 1.jpg</v>
      </c>
      <c r="C25" s="22" t="str">
        <f>masterlist!D24</f>
        <v>Miste.mp4</v>
      </c>
      <c r="D25" s="22" t="s">
        <v>649</v>
      </c>
      <c r="E25" s="22" t="s">
        <v>649</v>
      </c>
      <c r="F25" s="22" t="s">
        <v>650</v>
      </c>
      <c r="G25" s="22" t="str">
        <f>masterlist!C24</f>
        <v>lose</v>
      </c>
      <c r="H25" s="22">
        <v>23</v>
      </c>
      <c r="I25" s="22" t="s">
        <v>651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">
      <c r="A26" s="22" t="s">
        <v>38</v>
      </c>
      <c r="B26" s="22" t="str">
        <f t="shared" si="0"/>
        <v>Take 1.jpg</v>
      </c>
      <c r="C26" s="22" t="str">
        <f>masterlist!D25</f>
        <v>Ta.mp4</v>
      </c>
      <c r="D26" s="22" t="s">
        <v>649</v>
      </c>
      <c r="E26" s="22" t="s">
        <v>649</v>
      </c>
      <c r="F26" s="22" t="s">
        <v>650</v>
      </c>
      <c r="G26" s="22" t="str">
        <f>masterlist!C25</f>
        <v>take</v>
      </c>
      <c r="H26" s="22">
        <v>24</v>
      </c>
      <c r="I26" s="22" t="s">
        <v>651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">
      <c r="A27" s="22" t="s">
        <v>38</v>
      </c>
      <c r="B27" s="22" t="str">
        <f t="shared" si="0"/>
        <v>Frog 2.jpg</v>
      </c>
      <c r="C27" s="22" t="str">
        <f>masterlist!D26</f>
        <v>Frosk.mp4</v>
      </c>
      <c r="D27" s="22" t="s">
        <v>232</v>
      </c>
      <c r="E27" s="22" t="s">
        <v>649</v>
      </c>
      <c r="F27" s="22" t="s">
        <v>650</v>
      </c>
      <c r="G27" s="22" t="str">
        <f>masterlist!C26</f>
        <v>frog</v>
      </c>
      <c r="H27" s="22">
        <v>25</v>
      </c>
      <c r="I27" s="22" t="s">
        <v>652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">
      <c r="A28" s="22" t="s">
        <v>38</v>
      </c>
      <c r="B28" s="22" t="str">
        <f t="shared" si="0"/>
        <v>Gorilla 2.jpg</v>
      </c>
      <c r="C28" s="22" t="str">
        <f>masterlist!D27</f>
        <v>Gorilla.mp4</v>
      </c>
      <c r="D28" s="22" t="s">
        <v>232</v>
      </c>
      <c r="E28" s="22" t="s">
        <v>649</v>
      </c>
      <c r="F28" s="22" t="s">
        <v>650</v>
      </c>
      <c r="G28" s="22" t="str">
        <f>masterlist!C27</f>
        <v>gorilla</v>
      </c>
      <c r="H28" s="22">
        <v>26</v>
      </c>
      <c r="I28" s="22" t="s">
        <v>652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">
      <c r="A29" s="22" t="s">
        <v>38</v>
      </c>
      <c r="B29" s="22" t="str">
        <f t="shared" si="0"/>
        <v>Come 2.jpg</v>
      </c>
      <c r="C29" s="22" t="str">
        <f>masterlist!D28</f>
        <v>Komme.mp4</v>
      </c>
      <c r="D29" s="22" t="s">
        <v>232</v>
      </c>
      <c r="E29" s="22" t="s">
        <v>649</v>
      </c>
      <c r="F29" s="22" t="s">
        <v>650</v>
      </c>
      <c r="G29" s="22" t="str">
        <f>masterlist!C28</f>
        <v>come</v>
      </c>
      <c r="H29" s="22">
        <v>27</v>
      </c>
      <c r="I29" s="22" t="s">
        <v>652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">
      <c r="A30" s="22" t="s">
        <v>38</v>
      </c>
      <c r="B30" s="22" t="str">
        <f t="shared" si="0"/>
        <v>Sail 2.jpg</v>
      </c>
      <c r="C30" s="22" t="str">
        <f>masterlist!D29</f>
        <v>Seil-båt.mp4</v>
      </c>
      <c r="D30" s="22" t="s">
        <v>232</v>
      </c>
      <c r="E30" s="22" t="s">
        <v>649</v>
      </c>
      <c r="F30" s="22" t="s">
        <v>650</v>
      </c>
      <c r="G30" s="22" t="str">
        <f>masterlist!C29</f>
        <v>sail</v>
      </c>
      <c r="H30" s="22">
        <v>28</v>
      </c>
      <c r="I30" s="22" t="s">
        <v>652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">
      <c r="A31" s="22" t="s">
        <v>38</v>
      </c>
      <c r="B31" s="22" t="str">
        <f t="shared" si="0"/>
        <v>Travel 2.jpg</v>
      </c>
      <c r="C31" s="22" t="str">
        <f>masterlist!D30</f>
        <v>Reise.mp4</v>
      </c>
      <c r="D31" s="22" t="s">
        <v>232</v>
      </c>
      <c r="E31" s="22" t="s">
        <v>649</v>
      </c>
      <c r="F31" s="22" t="s">
        <v>650</v>
      </c>
      <c r="G31" s="22" t="str">
        <f>masterlist!C30</f>
        <v>travel</v>
      </c>
      <c r="H31" s="22">
        <v>29</v>
      </c>
      <c r="I31" s="22" t="s">
        <v>652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">
      <c r="A32" s="22" t="s">
        <v>38</v>
      </c>
      <c r="B32" s="22" t="str">
        <f t="shared" si="0"/>
        <v>Doubt 2.jpg</v>
      </c>
      <c r="C32" s="22" t="str">
        <f>masterlist!D31</f>
        <v>Skeptisk.mp4</v>
      </c>
      <c r="D32" s="22" t="s">
        <v>232</v>
      </c>
      <c r="E32" s="22" t="s">
        <v>649</v>
      </c>
      <c r="F32" s="22" t="s">
        <v>650</v>
      </c>
      <c r="G32" s="22" t="str">
        <f>masterlist!C31</f>
        <v>doubt</v>
      </c>
      <c r="H32" s="22">
        <v>30</v>
      </c>
      <c r="I32" s="22" t="s">
        <v>652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">
      <c r="A33" s="22" t="s">
        <v>38</v>
      </c>
      <c r="B33" s="22" t="str">
        <f t="shared" si="0"/>
        <v>Play 1.jpg</v>
      </c>
      <c r="C33" s="22" t="str">
        <f>masterlist!D32</f>
        <v>Spille.mp4</v>
      </c>
      <c r="D33" s="22" t="s">
        <v>649</v>
      </c>
      <c r="E33" s="22" t="s">
        <v>649</v>
      </c>
      <c r="F33" s="22" t="s">
        <v>650</v>
      </c>
      <c r="G33" s="22" t="str">
        <f>masterlist!C32</f>
        <v>play</v>
      </c>
      <c r="H33" s="22">
        <v>31</v>
      </c>
      <c r="I33" s="22" t="s">
        <v>652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">
      <c r="A34" s="22" t="s">
        <v>38</v>
      </c>
      <c r="B34" s="22" t="str">
        <f t="shared" si="0"/>
        <v>Engagement 1.jpg</v>
      </c>
      <c r="C34" s="22" t="str">
        <f>masterlist!D33</f>
        <v>Forlovet.mp4</v>
      </c>
      <c r="D34" s="22" t="s">
        <v>649</v>
      </c>
      <c r="E34" s="22" t="s">
        <v>649</v>
      </c>
      <c r="F34" s="22" t="s">
        <v>650</v>
      </c>
      <c r="G34" s="22" t="str">
        <f>masterlist!C33</f>
        <v>engagement</v>
      </c>
      <c r="H34" s="22">
        <v>32</v>
      </c>
      <c r="I34" s="22" t="s">
        <v>652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">
      <c r="A35" s="22" t="s">
        <v>38</v>
      </c>
      <c r="B35" s="22" t="str">
        <f t="shared" si="0"/>
        <v>Color 1.jpg</v>
      </c>
      <c r="C35" s="22" t="str">
        <f>masterlist!D34</f>
        <v>Farge.mp4</v>
      </c>
      <c r="D35" s="22" t="s">
        <v>649</v>
      </c>
      <c r="E35" s="22" t="s">
        <v>649</v>
      </c>
      <c r="F35" s="22" t="s">
        <v>650</v>
      </c>
      <c r="G35" s="22" t="str">
        <f>masterlist!C34</f>
        <v>color</v>
      </c>
      <c r="H35" s="22">
        <v>33</v>
      </c>
      <c r="I35" s="22" t="s">
        <v>652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">
      <c r="A36" s="22" t="s">
        <v>38</v>
      </c>
      <c r="B36" s="22" t="str">
        <f t="shared" si="0"/>
        <v>East 1.jpg</v>
      </c>
      <c r="C36" s="22" t="str">
        <f>masterlist!D35</f>
        <v>Øst.mp4</v>
      </c>
      <c r="D36" s="22" t="s">
        <v>649</v>
      </c>
      <c r="E36" s="22" t="s">
        <v>649</v>
      </c>
      <c r="F36" s="22" t="s">
        <v>650</v>
      </c>
      <c r="G36" s="22" t="str">
        <f>masterlist!C35</f>
        <v>east</v>
      </c>
      <c r="H36" s="22">
        <v>34</v>
      </c>
      <c r="I36" s="22" t="s">
        <v>652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">
      <c r="A37" s="22" t="s">
        <v>38</v>
      </c>
      <c r="B37" s="22" t="str">
        <f t="shared" si="0"/>
        <v>School 1.jpg</v>
      </c>
      <c r="C37" s="22" t="str">
        <f>masterlist!D36</f>
        <v>Skole.mp4</v>
      </c>
      <c r="D37" s="22" t="s">
        <v>649</v>
      </c>
      <c r="E37" s="22" t="s">
        <v>649</v>
      </c>
      <c r="F37" s="22" t="s">
        <v>650</v>
      </c>
      <c r="G37" s="22" t="str">
        <f>masterlist!C36</f>
        <v>school</v>
      </c>
      <c r="H37" s="22">
        <v>35</v>
      </c>
      <c r="I37" s="22" t="s">
        <v>652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">
      <c r="A38" s="22" t="s">
        <v>38</v>
      </c>
      <c r="B38" s="22" t="str">
        <f t="shared" si="0"/>
        <v>Pain 1.jpg</v>
      </c>
      <c r="C38" s="22" t="str">
        <f>masterlist!D37</f>
        <v>Vondt.mp4</v>
      </c>
      <c r="D38" s="22" t="s">
        <v>649</v>
      </c>
      <c r="E38" s="22" t="s">
        <v>649</v>
      </c>
      <c r="F38" s="22" t="s">
        <v>650</v>
      </c>
      <c r="G38" s="22" t="str">
        <f>masterlist!C37</f>
        <v>pain</v>
      </c>
      <c r="H38" s="22">
        <v>36</v>
      </c>
      <c r="I38" s="22" t="s">
        <v>652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">
      <c r="A39" s="22" t="s">
        <v>38</v>
      </c>
      <c r="B39" s="22" t="str">
        <f t="shared" si="0"/>
        <v>Cabbage 2.jpg</v>
      </c>
      <c r="C39" s="22" t="str">
        <f>masterlist!D38</f>
        <v>Kåle.mp4</v>
      </c>
      <c r="D39" s="22" t="s">
        <v>232</v>
      </c>
      <c r="E39" s="22" t="s">
        <v>649</v>
      </c>
      <c r="F39" s="22" t="s">
        <v>650</v>
      </c>
      <c r="G39" s="22" t="str">
        <f>masterlist!C38</f>
        <v>cabbage</v>
      </c>
      <c r="H39" s="22">
        <v>37</v>
      </c>
      <c r="I39" s="22" t="s">
        <v>652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">
      <c r="A40" s="22" t="s">
        <v>38</v>
      </c>
      <c r="B40" s="22" t="str">
        <f t="shared" si="0"/>
        <v>Doll 2.jpg</v>
      </c>
      <c r="C40" s="22" t="str">
        <f>masterlist!D39</f>
        <v>Dukke.mp4</v>
      </c>
      <c r="D40" s="22" t="s">
        <v>232</v>
      </c>
      <c r="E40" s="22" t="s">
        <v>649</v>
      </c>
      <c r="F40" s="22" t="s">
        <v>650</v>
      </c>
      <c r="G40" s="22" t="str">
        <f>masterlist!C39</f>
        <v>doll</v>
      </c>
      <c r="H40" s="22">
        <v>38</v>
      </c>
      <c r="I40" s="22" t="s">
        <v>652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">
      <c r="A41" s="22" t="s">
        <v>38</v>
      </c>
      <c r="B41" s="22" t="str">
        <f t="shared" si="0"/>
        <v>Magazine 2.jpg</v>
      </c>
      <c r="C41" s="22" t="str">
        <f>masterlist!D40</f>
        <v>Dagbladet.mp4</v>
      </c>
      <c r="D41" s="22" t="s">
        <v>232</v>
      </c>
      <c r="E41" s="22" t="s">
        <v>649</v>
      </c>
      <c r="F41" s="22" t="s">
        <v>650</v>
      </c>
      <c r="G41" s="22" t="str">
        <f>masterlist!C40</f>
        <v>magazine</v>
      </c>
      <c r="H41" s="22">
        <v>39</v>
      </c>
      <c r="I41" s="22" t="s">
        <v>652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">
      <c r="A42" s="22" t="s">
        <v>38</v>
      </c>
      <c r="B42" s="22" t="str">
        <f t="shared" si="0"/>
        <v>Ring 2.jpg</v>
      </c>
      <c r="C42" s="22" t="str">
        <f>masterlist!D41</f>
        <v>Sirkel.mp4</v>
      </c>
      <c r="D42" s="22" t="s">
        <v>232</v>
      </c>
      <c r="E42" s="22" t="s">
        <v>649</v>
      </c>
      <c r="F42" s="22" t="s">
        <v>650</v>
      </c>
      <c r="G42" s="22" t="str">
        <f>masterlist!C41</f>
        <v>ring</v>
      </c>
      <c r="H42" s="22">
        <v>40</v>
      </c>
      <c r="I42" s="22" t="s">
        <v>652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">
      <c r="A43" s="22" t="s">
        <v>38</v>
      </c>
      <c r="B43" s="22" t="str">
        <f t="shared" si="0"/>
        <v>Salt 2.jpg</v>
      </c>
      <c r="C43" s="22" t="str">
        <f>masterlist!D42</f>
        <v>Salt.mp4</v>
      </c>
      <c r="D43" s="22" t="s">
        <v>232</v>
      </c>
      <c r="E43" s="22" t="s">
        <v>649</v>
      </c>
      <c r="F43" s="22" t="s">
        <v>650</v>
      </c>
      <c r="G43" s="22" t="str">
        <f>masterlist!C42</f>
        <v>salt</v>
      </c>
      <c r="H43" s="22">
        <v>41</v>
      </c>
      <c r="I43" s="22" t="s">
        <v>652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">
      <c r="A44" s="22" t="s">
        <v>38</v>
      </c>
      <c r="B44" s="22" t="str">
        <f t="shared" si="0"/>
        <v>Sneeze 2.jpg</v>
      </c>
      <c r="C44" s="22" t="str">
        <f>masterlist!D43</f>
        <v>Nyse.mp4</v>
      </c>
      <c r="D44" s="22" t="s">
        <v>232</v>
      </c>
      <c r="E44" s="22" t="s">
        <v>649</v>
      </c>
      <c r="F44" s="22" t="s">
        <v>650</v>
      </c>
      <c r="G44" s="22" t="str">
        <f>masterlist!C43</f>
        <v>sneeze</v>
      </c>
      <c r="H44" s="22">
        <v>42</v>
      </c>
      <c r="I44" s="22" t="s">
        <v>652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">
      <c r="A45" s="22" t="s">
        <v>38</v>
      </c>
      <c r="B45" s="22" t="str">
        <f t="shared" si="0"/>
        <v>Try 1.jpg</v>
      </c>
      <c r="C45" s="22" t="s">
        <v>655</v>
      </c>
      <c r="D45" s="22" t="s">
        <v>649</v>
      </c>
      <c r="E45" s="22" t="s">
        <v>649</v>
      </c>
      <c r="F45" s="22" t="s">
        <v>650</v>
      </c>
      <c r="G45" s="22" t="str">
        <f>masterlist!C44</f>
        <v>try</v>
      </c>
      <c r="H45" s="22">
        <v>43</v>
      </c>
      <c r="I45" s="22" t="s">
        <v>652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">
      <c r="A46" s="22" t="s">
        <v>38</v>
      </c>
      <c r="B46" s="22" t="str">
        <f t="shared" si="0"/>
        <v>Wait 1.jpg</v>
      </c>
      <c r="C46" s="22" t="s">
        <v>201</v>
      </c>
      <c r="D46" s="22" t="s">
        <v>649</v>
      </c>
      <c r="E46" s="22" t="s">
        <v>649</v>
      </c>
      <c r="F46" s="22" t="s">
        <v>650</v>
      </c>
      <c r="G46" s="22" t="str">
        <f>masterlist!C45</f>
        <v>wait</v>
      </c>
      <c r="H46" s="22">
        <v>44</v>
      </c>
      <c r="I46" s="22" t="s">
        <v>652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">
      <c r="A47" s="22" t="s">
        <v>38</v>
      </c>
      <c r="B47" s="22" t="str">
        <f t="shared" si="0"/>
        <v>Call 1.jpg</v>
      </c>
      <c r="C47" s="22" t="s">
        <v>656</v>
      </c>
      <c r="D47" s="22" t="s">
        <v>649</v>
      </c>
      <c r="E47" s="22" t="s">
        <v>649</v>
      </c>
      <c r="F47" s="22" t="s">
        <v>650</v>
      </c>
      <c r="G47" s="22" t="str">
        <f>masterlist!C46</f>
        <v>call</v>
      </c>
      <c r="H47" s="22">
        <v>45</v>
      </c>
      <c r="I47" s="22" t="s">
        <v>652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">
      <c r="A48" s="22" t="s">
        <v>38</v>
      </c>
      <c r="B48" s="22" t="str">
        <f t="shared" si="0"/>
        <v>Choose 1.jpg</v>
      </c>
      <c r="C48" s="22" t="s">
        <v>657</v>
      </c>
      <c r="D48" s="22" t="s">
        <v>649</v>
      </c>
      <c r="E48" s="22" t="s">
        <v>649</v>
      </c>
      <c r="F48" s="22" t="s">
        <v>650</v>
      </c>
      <c r="G48" s="22" t="str">
        <f>masterlist!C47</f>
        <v>choose</v>
      </c>
      <c r="H48" s="22">
        <v>46</v>
      </c>
      <c r="I48" s="22" t="s">
        <v>652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">
      <c r="A49" s="22" t="s">
        <v>38</v>
      </c>
      <c r="B49" s="22" t="str">
        <f t="shared" si="0"/>
        <v>Show 1.jpg</v>
      </c>
      <c r="C49" s="22" t="s">
        <v>658</v>
      </c>
      <c r="D49" s="22" t="s">
        <v>649</v>
      </c>
      <c r="E49" s="22" t="s">
        <v>649</v>
      </c>
      <c r="F49" s="22" t="s">
        <v>650</v>
      </c>
      <c r="G49" s="22" t="str">
        <f>masterlist!C48</f>
        <v>show</v>
      </c>
      <c r="H49" s="22">
        <v>47</v>
      </c>
      <c r="I49" s="22" t="s">
        <v>652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">
      <c r="A50" s="22" t="s">
        <v>38</v>
      </c>
      <c r="B50" s="22" t="str">
        <f t="shared" si="0"/>
        <v>Write 1.jpg</v>
      </c>
      <c r="C50" s="22" t="s">
        <v>659</v>
      </c>
      <c r="D50" s="22" t="s">
        <v>649</v>
      </c>
      <c r="E50" s="22" t="s">
        <v>649</v>
      </c>
      <c r="F50" s="22" t="s">
        <v>650</v>
      </c>
      <c r="G50" s="22" t="s">
        <v>124</v>
      </c>
      <c r="H50" s="22">
        <v>48</v>
      </c>
      <c r="I50" s="22" t="s">
        <v>652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x14ac:dyDescent="0.2">
      <c r="A51" s="22" t="s">
        <v>230</v>
      </c>
      <c r="B51" s="22" t="str">
        <f>nsl_list1!B3</f>
        <v>Boy 1.jpg</v>
      </c>
      <c r="C51" s="22" t="s">
        <v>660</v>
      </c>
      <c r="D51" s="22" t="s">
        <v>232</v>
      </c>
      <c r="E51" s="22" t="s">
        <v>232</v>
      </c>
      <c r="F51" s="22" t="s">
        <v>653</v>
      </c>
      <c r="G51" s="22" t="s">
        <v>231</v>
      </c>
      <c r="H51" s="22">
        <v>49</v>
      </c>
      <c r="I51" s="22" t="s">
        <v>652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x14ac:dyDescent="0.2">
      <c r="A52" s="22" t="s">
        <v>230</v>
      </c>
      <c r="B52" s="22" t="str">
        <f>nsl_list1!B4</f>
        <v>Children 1.jpg</v>
      </c>
      <c r="C52" s="22" t="s">
        <v>661</v>
      </c>
      <c r="D52" s="22" t="s">
        <v>232</v>
      </c>
      <c r="E52" s="22" t="s">
        <v>232</v>
      </c>
      <c r="F52" s="22" t="s">
        <v>653</v>
      </c>
      <c r="G52" s="22" t="s">
        <v>231</v>
      </c>
      <c r="H52" s="22">
        <v>50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x14ac:dyDescent="0.2">
      <c r="A53" s="22" t="s">
        <v>230</v>
      </c>
      <c r="B53" s="22" t="str">
        <f>nsl_list1!B5</f>
        <v>Eagle 1.jpg</v>
      </c>
      <c r="C53" s="22" t="s">
        <v>662</v>
      </c>
      <c r="D53" s="22" t="s">
        <v>232</v>
      </c>
      <c r="E53" s="22" t="s">
        <v>232</v>
      </c>
      <c r="F53" s="22" t="s">
        <v>653</v>
      </c>
      <c r="G53" s="22" t="s">
        <v>231</v>
      </c>
      <c r="H53" s="22">
        <v>51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x14ac:dyDescent="0.2">
      <c r="A54" s="22" t="s">
        <v>230</v>
      </c>
      <c r="B54" s="22" t="str">
        <f>nsl_list1!B6</f>
        <v>Family 1.jpg</v>
      </c>
      <c r="C54" s="22" t="s">
        <v>663</v>
      </c>
      <c r="D54" s="22" t="s">
        <v>232</v>
      </c>
      <c r="E54" s="22" t="s">
        <v>232</v>
      </c>
      <c r="F54" s="22" t="s">
        <v>653</v>
      </c>
      <c r="G54" s="22" t="s">
        <v>231</v>
      </c>
      <c r="H54" s="22">
        <v>52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x14ac:dyDescent="0.2">
      <c r="A55" s="22" t="s">
        <v>230</v>
      </c>
      <c r="B55" s="22" t="str">
        <f>nsl_list1!B7</f>
        <v>Breathe 1.jpg</v>
      </c>
      <c r="C55" s="22" t="s">
        <v>664</v>
      </c>
      <c r="D55" s="22" t="s">
        <v>232</v>
      </c>
      <c r="E55" s="22" t="s">
        <v>232</v>
      </c>
      <c r="F55" s="22" t="s">
        <v>653</v>
      </c>
      <c r="G55" s="22" t="s">
        <v>231</v>
      </c>
      <c r="H55" s="22">
        <v>53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x14ac:dyDescent="0.2">
      <c r="A56" s="22" t="s">
        <v>230</v>
      </c>
      <c r="B56" s="22" t="str">
        <f>nsl_list1!B8</f>
        <v>Cry 1.jpg</v>
      </c>
      <c r="C56" s="22" t="s">
        <v>665</v>
      </c>
      <c r="D56" s="22" t="s">
        <v>232</v>
      </c>
      <c r="E56" s="22" t="s">
        <v>232</v>
      </c>
      <c r="F56" s="22" t="s">
        <v>653</v>
      </c>
      <c r="G56" s="22" t="s">
        <v>231</v>
      </c>
      <c r="H56" s="22">
        <v>54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x14ac:dyDescent="0.2">
      <c r="A57" s="22" t="s">
        <v>230</v>
      </c>
      <c r="B57" s="22" t="str">
        <f>nsl_list1!B9</f>
        <v>Run 2.jpg</v>
      </c>
      <c r="C57" s="22" t="s">
        <v>666</v>
      </c>
      <c r="D57" s="22" t="s">
        <v>232</v>
      </c>
      <c r="E57" s="22" t="s">
        <v>232</v>
      </c>
      <c r="F57" s="22" t="s">
        <v>653</v>
      </c>
      <c r="G57" s="22" t="s">
        <v>231</v>
      </c>
      <c r="H57" s="22">
        <v>55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x14ac:dyDescent="0.2">
      <c r="A58" s="22" t="s">
        <v>230</v>
      </c>
      <c r="B58" s="22" t="str">
        <f>nsl_list1!B10</f>
        <v>Sing 2.jpg</v>
      </c>
      <c r="C58" s="22" t="s">
        <v>667</v>
      </c>
      <c r="D58" s="22" t="s">
        <v>232</v>
      </c>
      <c r="E58" s="22" t="s">
        <v>232</v>
      </c>
      <c r="F58" s="22" t="s">
        <v>653</v>
      </c>
      <c r="G58" s="22" t="s">
        <v>231</v>
      </c>
      <c r="H58" s="22">
        <v>56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x14ac:dyDescent="0.2">
      <c r="A59" s="22" t="s">
        <v>230</v>
      </c>
      <c r="B59" s="22" t="str">
        <f>nsl_list1!B11</f>
        <v>Think 2.jpg</v>
      </c>
      <c r="C59" s="22" t="s">
        <v>668</v>
      </c>
      <c r="D59" s="22" t="s">
        <v>232</v>
      </c>
      <c r="E59" s="22" t="s">
        <v>232</v>
      </c>
      <c r="F59" s="22" t="s">
        <v>653</v>
      </c>
      <c r="G59" s="22" t="s">
        <v>231</v>
      </c>
      <c r="H59" s="22">
        <v>57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x14ac:dyDescent="0.2">
      <c r="A60" s="22" t="s">
        <v>230</v>
      </c>
      <c r="B60" s="22" t="str">
        <f>nsl_list1!B12</f>
        <v>Paint 2.jpg</v>
      </c>
      <c r="C60" s="22" t="s">
        <v>669</v>
      </c>
      <c r="D60" s="22" t="s">
        <v>232</v>
      </c>
      <c r="E60" s="22" t="s">
        <v>232</v>
      </c>
      <c r="F60" s="22" t="s">
        <v>653</v>
      </c>
      <c r="G60" s="22" t="s">
        <v>231</v>
      </c>
      <c r="H60" s="22">
        <v>58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x14ac:dyDescent="0.2">
      <c r="A61" s="22" t="s">
        <v>230</v>
      </c>
      <c r="B61" s="22" t="str">
        <f>nsl_list1!B13</f>
        <v>Watch 2.jpg</v>
      </c>
      <c r="C61" s="22" t="s">
        <v>670</v>
      </c>
      <c r="D61" s="22" t="s">
        <v>232</v>
      </c>
      <c r="E61" s="22" t="s">
        <v>232</v>
      </c>
      <c r="F61" s="22" t="s">
        <v>653</v>
      </c>
      <c r="G61" s="22" t="s">
        <v>231</v>
      </c>
      <c r="H61" s="22">
        <v>59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x14ac:dyDescent="0.2">
      <c r="A62" s="22" t="s">
        <v>230</v>
      </c>
      <c r="B62" s="22" t="str">
        <f>nsl_list1!B14</f>
        <v>Write 2.jpg</v>
      </c>
      <c r="C62" s="22" t="s">
        <v>671</v>
      </c>
      <c r="D62" s="22" t="s">
        <v>232</v>
      </c>
      <c r="E62" s="22" t="s">
        <v>232</v>
      </c>
      <c r="F62" s="22" t="s">
        <v>653</v>
      </c>
      <c r="G62" s="22" t="s">
        <v>231</v>
      </c>
      <c r="H62" s="22">
        <v>60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x14ac:dyDescent="0.2">
      <c r="A63" s="22" t="s">
        <v>230</v>
      </c>
      <c r="B63" s="22" t="str">
        <f>nsl_list1!B15</f>
        <v>Beauty 1.jpg</v>
      </c>
      <c r="C63" s="22" t="s">
        <v>672</v>
      </c>
      <c r="D63" s="22" t="s">
        <v>232</v>
      </c>
      <c r="E63" s="22" t="s">
        <v>232</v>
      </c>
      <c r="F63" s="22" t="s">
        <v>653</v>
      </c>
      <c r="G63" s="22" t="s">
        <v>231</v>
      </c>
      <c r="H63" s="22">
        <v>61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x14ac:dyDescent="0.2">
      <c r="A64" s="22" t="s">
        <v>230</v>
      </c>
      <c r="B64" s="22" t="str">
        <f>nsl_list1!B16</f>
        <v>Change 1.jpg</v>
      </c>
      <c r="C64" s="22" t="s">
        <v>673</v>
      </c>
      <c r="D64" s="22" t="s">
        <v>232</v>
      </c>
      <c r="E64" s="22" t="s">
        <v>232</v>
      </c>
      <c r="F64" s="22" t="s">
        <v>653</v>
      </c>
      <c r="G64" s="22" t="s">
        <v>231</v>
      </c>
      <c r="H64" s="22">
        <v>62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x14ac:dyDescent="0.2">
      <c r="A65" s="22" t="s">
        <v>230</v>
      </c>
      <c r="B65" s="22" t="str">
        <f>nsl_list1!B17</f>
        <v>Book 1.jpg</v>
      </c>
      <c r="C65" s="22" t="s">
        <v>674</v>
      </c>
      <c r="D65" s="22" t="s">
        <v>232</v>
      </c>
      <c r="E65" s="22" t="s">
        <v>232</v>
      </c>
      <c r="F65" s="22" t="s">
        <v>653</v>
      </c>
      <c r="G65" s="22" t="s">
        <v>231</v>
      </c>
      <c r="H65" s="22">
        <v>63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x14ac:dyDescent="0.2">
      <c r="A66" s="22" t="s">
        <v>230</v>
      </c>
      <c r="B66" s="22" t="str">
        <f>nsl_list1!B18</f>
        <v>Coffee 1.jpg</v>
      </c>
      <c r="C66" s="22" t="s">
        <v>675</v>
      </c>
      <c r="D66" s="22" t="s">
        <v>232</v>
      </c>
      <c r="E66" s="22" t="s">
        <v>232</v>
      </c>
      <c r="F66" s="22" t="s">
        <v>653</v>
      </c>
      <c r="G66" s="22" t="s">
        <v>231</v>
      </c>
      <c r="H66" s="22">
        <v>64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x14ac:dyDescent="0.2">
      <c r="A67" s="22" t="s">
        <v>230</v>
      </c>
      <c r="B67" s="22" t="str">
        <f>nsl_list1!B19</f>
        <v>Cigar 1.jpg</v>
      </c>
      <c r="C67" s="22" t="s">
        <v>676</v>
      </c>
      <c r="D67" s="22" t="s">
        <v>232</v>
      </c>
      <c r="E67" s="22" t="s">
        <v>232</v>
      </c>
      <c r="F67" s="22" t="s">
        <v>653</v>
      </c>
      <c r="G67" s="22" t="s">
        <v>231</v>
      </c>
      <c r="H67" s="22">
        <v>65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x14ac:dyDescent="0.2">
      <c r="A68" s="22" t="s">
        <v>230</v>
      </c>
      <c r="B68" s="22" t="str">
        <f>nsl_list1!B20</f>
        <v>Flower 1.jpg</v>
      </c>
      <c r="C68" s="22" t="s">
        <v>677</v>
      </c>
      <c r="D68" s="22" t="s">
        <v>232</v>
      </c>
      <c r="E68" s="22" t="s">
        <v>232</v>
      </c>
      <c r="F68" s="22" t="s">
        <v>653</v>
      </c>
      <c r="G68" s="22" t="s">
        <v>231</v>
      </c>
      <c r="H68" s="22">
        <v>66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x14ac:dyDescent="0.2">
      <c r="A69" s="22" t="s">
        <v>230</v>
      </c>
      <c r="B69" s="22" t="str">
        <f>nsl_list1!B21</f>
        <v>Metal 2.jpg</v>
      </c>
      <c r="C69" s="22" t="s">
        <v>678</v>
      </c>
      <c r="D69" s="22" t="s">
        <v>232</v>
      </c>
      <c r="E69" s="22" t="s">
        <v>232</v>
      </c>
      <c r="F69" s="22" t="s">
        <v>653</v>
      </c>
      <c r="G69" s="22" t="s">
        <v>231</v>
      </c>
      <c r="H69" s="22">
        <v>67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x14ac:dyDescent="0.2">
      <c r="A70" s="22" t="s">
        <v>230</v>
      </c>
      <c r="B70" s="22" t="str">
        <f>nsl_list1!B22</f>
        <v>Telephone 2.jpg</v>
      </c>
      <c r="C70" s="22" t="s">
        <v>679</v>
      </c>
      <c r="D70" s="22" t="s">
        <v>232</v>
      </c>
      <c r="E70" s="22" t="s">
        <v>232</v>
      </c>
      <c r="F70" s="22" t="s">
        <v>653</v>
      </c>
      <c r="G70" s="22" t="s">
        <v>231</v>
      </c>
      <c r="H70" s="22">
        <v>68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x14ac:dyDescent="0.2">
      <c r="A71" s="22" t="s">
        <v>230</v>
      </c>
      <c r="B71" s="22" t="str">
        <f>nsl_list1!B23</f>
        <v>Jump 2.jpg</v>
      </c>
      <c r="C71" s="22" t="s">
        <v>680</v>
      </c>
      <c r="D71" s="22" t="s">
        <v>232</v>
      </c>
      <c r="E71" s="22" t="s">
        <v>232</v>
      </c>
      <c r="F71" s="22" t="s">
        <v>653</v>
      </c>
      <c r="G71" s="22" t="s">
        <v>231</v>
      </c>
      <c r="H71" s="22">
        <v>69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x14ac:dyDescent="0.2">
      <c r="A72" s="22" t="s">
        <v>230</v>
      </c>
      <c r="B72" s="22" t="str">
        <f>nsl_list1!B24</f>
        <v>Leave 2.jpg</v>
      </c>
      <c r="C72" s="22" t="s">
        <v>681</v>
      </c>
      <c r="D72" s="22" t="s">
        <v>232</v>
      </c>
      <c r="E72" s="22" t="s">
        <v>232</v>
      </c>
      <c r="F72" s="22" t="s">
        <v>653</v>
      </c>
      <c r="G72" s="22" t="s">
        <v>231</v>
      </c>
      <c r="H72" s="22">
        <v>70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x14ac:dyDescent="0.2">
      <c r="A73" s="22" t="s">
        <v>230</v>
      </c>
      <c r="B73" s="22" t="str">
        <f>nsl_list1!B25</f>
        <v>Lose 2.jpg</v>
      </c>
      <c r="C73" s="22" t="s">
        <v>682</v>
      </c>
      <c r="D73" s="22" t="s">
        <v>232</v>
      </c>
      <c r="E73" s="22" t="s">
        <v>232</v>
      </c>
      <c r="F73" s="22" t="s">
        <v>653</v>
      </c>
      <c r="G73" s="22" t="s">
        <v>231</v>
      </c>
      <c r="H73" s="22">
        <v>71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x14ac:dyDescent="0.2">
      <c r="A74" s="22" t="s">
        <v>230</v>
      </c>
      <c r="B74" s="22" t="str">
        <f>nsl_list1!B26</f>
        <v>Take 2.jpg</v>
      </c>
      <c r="C74" s="22" t="s">
        <v>683</v>
      </c>
      <c r="D74" s="22" t="s">
        <v>232</v>
      </c>
      <c r="E74" s="22" t="s">
        <v>232</v>
      </c>
      <c r="F74" s="22" t="s">
        <v>653</v>
      </c>
      <c r="G74" s="22" t="s">
        <v>231</v>
      </c>
      <c r="H74" s="22">
        <v>72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x14ac:dyDescent="0.2">
      <c r="A75" s="22" t="s">
        <v>230</v>
      </c>
      <c r="B75" s="22" t="str">
        <f>nsl_list1!B27</f>
        <v>Frog 1.jpg</v>
      </c>
      <c r="C75" s="22" t="s">
        <v>684</v>
      </c>
      <c r="D75" s="22" t="s">
        <v>232</v>
      </c>
      <c r="E75" s="22" t="s">
        <v>232</v>
      </c>
      <c r="F75" s="22" t="s">
        <v>653</v>
      </c>
      <c r="G75" s="22" t="s">
        <v>231</v>
      </c>
      <c r="H75" s="22">
        <v>73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x14ac:dyDescent="0.2">
      <c r="A76" s="22" t="s">
        <v>230</v>
      </c>
      <c r="B76" s="22" t="str">
        <f>nsl_list1!B28</f>
        <v>Gorilla 1.jpg</v>
      </c>
      <c r="C76" s="22" t="s">
        <v>685</v>
      </c>
      <c r="D76" s="22" t="s">
        <v>232</v>
      </c>
      <c r="E76" s="22" t="s">
        <v>232</v>
      </c>
      <c r="F76" s="22" t="s">
        <v>653</v>
      </c>
      <c r="G76" s="22" t="s">
        <v>231</v>
      </c>
      <c r="H76" s="22">
        <v>74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x14ac:dyDescent="0.2">
      <c r="A77" s="22" t="s">
        <v>230</v>
      </c>
      <c r="B77" s="22" t="str">
        <f>nsl_list1!B29</f>
        <v>Come 1.jpg</v>
      </c>
      <c r="C77" s="22" t="s">
        <v>686</v>
      </c>
      <c r="D77" s="22" t="s">
        <v>232</v>
      </c>
      <c r="E77" s="22" t="s">
        <v>232</v>
      </c>
      <c r="F77" s="22" t="s">
        <v>653</v>
      </c>
      <c r="G77" s="22" t="s">
        <v>231</v>
      </c>
      <c r="H77" s="22">
        <v>75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x14ac:dyDescent="0.2">
      <c r="A78" s="22" t="s">
        <v>230</v>
      </c>
      <c r="B78" s="22" t="str">
        <f>nsl_list1!B30</f>
        <v>Sail 1.jpg</v>
      </c>
      <c r="C78" s="22" t="s">
        <v>687</v>
      </c>
      <c r="D78" s="22" t="s">
        <v>232</v>
      </c>
      <c r="E78" s="22" t="s">
        <v>232</v>
      </c>
      <c r="F78" s="22" t="s">
        <v>653</v>
      </c>
      <c r="G78" s="22" t="s">
        <v>231</v>
      </c>
      <c r="H78" s="22">
        <v>76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x14ac:dyDescent="0.2">
      <c r="A79" s="22" t="s">
        <v>230</v>
      </c>
      <c r="B79" s="22" t="str">
        <f>nsl_list1!B31</f>
        <v>Travel 1.jpg</v>
      </c>
      <c r="C79" s="22" t="s">
        <v>688</v>
      </c>
      <c r="D79" s="22" t="s">
        <v>232</v>
      </c>
      <c r="E79" s="22" t="s">
        <v>232</v>
      </c>
      <c r="F79" s="22" t="s">
        <v>653</v>
      </c>
      <c r="G79" s="22" t="s">
        <v>231</v>
      </c>
      <c r="H79" s="22">
        <v>77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x14ac:dyDescent="0.2">
      <c r="A80" s="22" t="s">
        <v>230</v>
      </c>
      <c r="B80" s="22" t="str">
        <f>nsl_list1!B32</f>
        <v>Doubt 1.jpg</v>
      </c>
      <c r="C80" s="22" t="s">
        <v>689</v>
      </c>
      <c r="D80" s="22" t="s">
        <v>232</v>
      </c>
      <c r="E80" s="22" t="s">
        <v>232</v>
      </c>
      <c r="F80" s="22" t="s">
        <v>653</v>
      </c>
      <c r="G80" s="22" t="s">
        <v>231</v>
      </c>
      <c r="H80" s="22">
        <v>78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2">
      <c r="A81" s="22" t="s">
        <v>230</v>
      </c>
      <c r="B81" s="22" t="str">
        <f>nsl_list1!B33</f>
        <v>Play 2.jpg</v>
      </c>
      <c r="C81" s="22" t="s">
        <v>690</v>
      </c>
      <c r="D81" s="22" t="s">
        <v>232</v>
      </c>
      <c r="E81" s="22" t="s">
        <v>232</v>
      </c>
      <c r="F81" s="22" t="s">
        <v>653</v>
      </c>
      <c r="G81" s="22" t="s">
        <v>231</v>
      </c>
      <c r="H81" s="22">
        <v>79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x14ac:dyDescent="0.2">
      <c r="A82" s="22" t="s">
        <v>230</v>
      </c>
      <c r="B82" s="22" t="str">
        <f>nsl_list1!B34</f>
        <v>Engagement 2.jpg</v>
      </c>
      <c r="C82" s="22" t="s">
        <v>691</v>
      </c>
      <c r="D82" s="22" t="s">
        <v>232</v>
      </c>
      <c r="E82" s="22" t="s">
        <v>232</v>
      </c>
      <c r="F82" s="22" t="s">
        <v>653</v>
      </c>
      <c r="G82" s="22" t="s">
        <v>231</v>
      </c>
      <c r="H82" s="22">
        <v>80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x14ac:dyDescent="0.2">
      <c r="A83" s="22" t="s">
        <v>230</v>
      </c>
      <c r="B83" s="22" t="str">
        <f>nsl_list1!B35</f>
        <v>Color 2.jpg</v>
      </c>
      <c r="C83" s="22" t="s">
        <v>692</v>
      </c>
      <c r="D83" s="22" t="s">
        <v>232</v>
      </c>
      <c r="E83" s="22" t="s">
        <v>232</v>
      </c>
      <c r="F83" s="22" t="s">
        <v>653</v>
      </c>
      <c r="G83" s="22" t="s">
        <v>231</v>
      </c>
      <c r="H83" s="22">
        <v>81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x14ac:dyDescent="0.2">
      <c r="A84" s="22" t="s">
        <v>230</v>
      </c>
      <c r="B84" s="22" t="str">
        <f>nsl_list1!B36</f>
        <v>East 2.jpg</v>
      </c>
      <c r="C84" s="22" t="s">
        <v>693</v>
      </c>
      <c r="D84" s="22" t="s">
        <v>232</v>
      </c>
      <c r="E84" s="22" t="s">
        <v>232</v>
      </c>
      <c r="F84" s="22" t="s">
        <v>653</v>
      </c>
      <c r="G84" s="22" t="s">
        <v>231</v>
      </c>
      <c r="H84" s="22">
        <v>82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x14ac:dyDescent="0.2">
      <c r="A85" s="22" t="s">
        <v>230</v>
      </c>
      <c r="B85" s="22" t="str">
        <f>nsl_list1!B37</f>
        <v>School 2.jpg</v>
      </c>
      <c r="C85" s="22" t="s">
        <v>694</v>
      </c>
      <c r="D85" s="22" t="s">
        <v>232</v>
      </c>
      <c r="E85" s="22" t="s">
        <v>232</v>
      </c>
      <c r="F85" s="22" t="s">
        <v>653</v>
      </c>
      <c r="G85" s="22" t="s">
        <v>231</v>
      </c>
      <c r="H85" s="22">
        <v>83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x14ac:dyDescent="0.2">
      <c r="A86" s="22" t="s">
        <v>230</v>
      </c>
      <c r="B86" s="22" t="str">
        <f>nsl_list1!B38</f>
        <v>Pain 2.jpg</v>
      </c>
      <c r="C86" s="22" t="s">
        <v>695</v>
      </c>
      <c r="D86" s="22" t="s">
        <v>232</v>
      </c>
      <c r="E86" s="22" t="s">
        <v>232</v>
      </c>
      <c r="F86" s="22" t="s">
        <v>653</v>
      </c>
      <c r="G86" s="22" t="s">
        <v>231</v>
      </c>
      <c r="H86" s="22">
        <v>84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x14ac:dyDescent="0.2">
      <c r="A87" s="22" t="s">
        <v>230</v>
      </c>
      <c r="B87" s="22" t="str">
        <f>nsl_list1!B39</f>
        <v>Cabbage 1.jpg</v>
      </c>
      <c r="C87" s="22" t="s">
        <v>696</v>
      </c>
      <c r="D87" s="22" t="s">
        <v>232</v>
      </c>
      <c r="E87" s="22" t="s">
        <v>232</v>
      </c>
      <c r="F87" s="22" t="s">
        <v>653</v>
      </c>
      <c r="G87" s="22" t="s">
        <v>231</v>
      </c>
      <c r="H87" s="22">
        <v>85</v>
      </c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x14ac:dyDescent="0.2">
      <c r="A88" s="22" t="s">
        <v>230</v>
      </c>
      <c r="B88" s="22" t="str">
        <f>nsl_list1!B40</f>
        <v>Doll 1.jpg</v>
      </c>
      <c r="C88" s="22" t="s">
        <v>697</v>
      </c>
      <c r="D88" s="22" t="s">
        <v>232</v>
      </c>
      <c r="E88" s="22" t="s">
        <v>232</v>
      </c>
      <c r="F88" s="22" t="s">
        <v>653</v>
      </c>
      <c r="G88" s="22" t="s">
        <v>231</v>
      </c>
      <c r="H88" s="22">
        <v>86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x14ac:dyDescent="0.2">
      <c r="A89" s="22" t="s">
        <v>230</v>
      </c>
      <c r="B89" s="22" t="str">
        <f>nsl_list1!B41</f>
        <v>Magazine 1.jpg</v>
      </c>
      <c r="C89" s="22" t="s">
        <v>698</v>
      </c>
      <c r="D89" s="22" t="s">
        <v>232</v>
      </c>
      <c r="E89" s="22" t="s">
        <v>232</v>
      </c>
      <c r="F89" s="22" t="s">
        <v>653</v>
      </c>
      <c r="G89" s="22" t="s">
        <v>231</v>
      </c>
      <c r="H89" s="22">
        <v>87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x14ac:dyDescent="0.2">
      <c r="A90" s="22" t="s">
        <v>230</v>
      </c>
      <c r="B90" s="22" t="str">
        <f>nsl_list1!B42</f>
        <v>Ring 1.jpg</v>
      </c>
      <c r="C90" s="22" t="s">
        <v>699</v>
      </c>
      <c r="D90" s="22" t="s">
        <v>232</v>
      </c>
      <c r="E90" s="22" t="s">
        <v>232</v>
      </c>
      <c r="F90" s="22" t="s">
        <v>653</v>
      </c>
      <c r="G90" s="22" t="s">
        <v>231</v>
      </c>
      <c r="H90" s="22">
        <v>88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x14ac:dyDescent="0.2">
      <c r="A91" s="22" t="s">
        <v>230</v>
      </c>
      <c r="B91" s="22" t="str">
        <f>nsl_list1!B43</f>
        <v>Salt 1.jpg</v>
      </c>
      <c r="C91" s="22" t="s">
        <v>700</v>
      </c>
      <c r="D91" s="22" t="s">
        <v>232</v>
      </c>
      <c r="E91" s="22" t="s">
        <v>232</v>
      </c>
      <c r="F91" s="22" t="s">
        <v>653</v>
      </c>
      <c r="G91" s="22" t="s">
        <v>231</v>
      </c>
      <c r="H91" s="22">
        <v>89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x14ac:dyDescent="0.2">
      <c r="A92" s="22" t="s">
        <v>230</v>
      </c>
      <c r="B92" s="22" t="str">
        <f>nsl_list1!B44</f>
        <v>Sneeze 1.jpg</v>
      </c>
      <c r="C92" s="22" t="s">
        <v>701</v>
      </c>
      <c r="D92" s="22" t="s">
        <v>232</v>
      </c>
      <c r="E92" s="22" t="s">
        <v>232</v>
      </c>
      <c r="F92" s="22" t="s">
        <v>653</v>
      </c>
      <c r="G92" s="22" t="s">
        <v>231</v>
      </c>
      <c r="H92" s="22">
        <v>90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x14ac:dyDescent="0.2">
      <c r="A93" s="22" t="s">
        <v>230</v>
      </c>
      <c r="B93" s="22" t="str">
        <f>nsl_list1!B45</f>
        <v>Try 2.jpg</v>
      </c>
      <c r="C93" s="22" t="s">
        <v>702</v>
      </c>
      <c r="D93" s="22" t="s">
        <v>232</v>
      </c>
      <c r="E93" s="22" t="s">
        <v>232</v>
      </c>
      <c r="F93" s="22" t="s">
        <v>653</v>
      </c>
      <c r="G93" s="22" t="s">
        <v>231</v>
      </c>
      <c r="H93" s="22">
        <v>91</v>
      </c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x14ac:dyDescent="0.2">
      <c r="A94" s="22" t="s">
        <v>230</v>
      </c>
      <c r="B94" s="22" t="str">
        <f>nsl_list1!B46</f>
        <v>Wait 2.jpg</v>
      </c>
      <c r="C94" s="22" t="s">
        <v>703</v>
      </c>
      <c r="D94" s="22" t="s">
        <v>232</v>
      </c>
      <c r="E94" s="22" t="s">
        <v>232</v>
      </c>
      <c r="F94" s="22" t="s">
        <v>653</v>
      </c>
      <c r="G94" s="22" t="s">
        <v>231</v>
      </c>
      <c r="H94" s="22">
        <v>92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x14ac:dyDescent="0.2">
      <c r="A95" s="22" t="s">
        <v>230</v>
      </c>
      <c r="B95" s="22" t="str">
        <f>nsl_list1!B47</f>
        <v>Call 2.jpg</v>
      </c>
      <c r="C95" s="22" t="s">
        <v>704</v>
      </c>
      <c r="D95" s="22" t="s">
        <v>232</v>
      </c>
      <c r="E95" s="22" t="s">
        <v>232</v>
      </c>
      <c r="F95" s="22" t="s">
        <v>653</v>
      </c>
      <c r="G95" s="22" t="s">
        <v>231</v>
      </c>
      <c r="H95" s="22">
        <v>93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x14ac:dyDescent="0.2">
      <c r="A96" s="22" t="s">
        <v>230</v>
      </c>
      <c r="B96" s="22" t="str">
        <f>nsl_list1!B48</f>
        <v>Choose 2.jpg</v>
      </c>
      <c r="C96" s="22" t="s">
        <v>705</v>
      </c>
      <c r="D96" s="22" t="s">
        <v>232</v>
      </c>
      <c r="E96" s="22" t="s">
        <v>232</v>
      </c>
      <c r="F96" s="22" t="s">
        <v>653</v>
      </c>
      <c r="G96" s="22" t="s">
        <v>231</v>
      </c>
      <c r="H96" s="22">
        <v>94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x14ac:dyDescent="0.2">
      <c r="A97" s="22" t="s">
        <v>230</v>
      </c>
      <c r="B97" s="22" t="str">
        <f>nsl_list1!B49</f>
        <v>Show 2.jpg</v>
      </c>
      <c r="C97" s="22" t="s">
        <v>706</v>
      </c>
      <c r="D97" s="22" t="s">
        <v>232</v>
      </c>
      <c r="E97" s="22" t="s">
        <v>232</v>
      </c>
      <c r="F97" s="22" t="s">
        <v>653</v>
      </c>
      <c r="G97" s="22" t="s">
        <v>231</v>
      </c>
      <c r="H97" s="22">
        <v>95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x14ac:dyDescent="0.2">
      <c r="A98" s="22" t="s">
        <v>230</v>
      </c>
      <c r="B98" s="22" t="str">
        <f>nsl_list1!B50</f>
        <v>Win 2.jpg</v>
      </c>
      <c r="C98" s="22" t="s">
        <v>707</v>
      </c>
      <c r="D98" s="22" t="s">
        <v>232</v>
      </c>
      <c r="E98" s="22" t="s">
        <v>232</v>
      </c>
      <c r="F98" s="22" t="s">
        <v>653</v>
      </c>
      <c r="G98" s="22" t="s">
        <v>231</v>
      </c>
      <c r="H98" s="22">
        <v>96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x14ac:dyDescent="0.2">
      <c r="A99" s="22" t="s">
        <v>654</v>
      </c>
      <c r="B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x14ac:dyDescent="0.2">
      <c r="A100" s="22"/>
      <c r="B100" s="22"/>
      <c r="D100" s="22"/>
      <c r="E100" s="22"/>
      <c r="F100" s="22"/>
      <c r="G100" s="22"/>
      <c r="H100" s="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x14ac:dyDescent="0.2">
      <c r="A101" s="22"/>
      <c r="B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x14ac:dyDescent="0.2">
      <c r="A102" s="22"/>
      <c r="B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x14ac:dyDescent="0.2">
      <c r="A103" s="22"/>
      <c r="B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x14ac:dyDescent="0.2">
      <c r="A104" s="22"/>
      <c r="B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x14ac:dyDescent="0.2">
      <c r="A105" s="22"/>
      <c r="B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x14ac:dyDescent="0.2">
      <c r="A106" s="22"/>
      <c r="B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x14ac:dyDescent="0.2">
      <c r="A107" s="22"/>
      <c r="B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x14ac:dyDescent="0.2">
      <c r="A108" s="22"/>
      <c r="B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x14ac:dyDescent="0.2">
      <c r="A109" s="22"/>
      <c r="B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x14ac:dyDescent="0.2">
      <c r="A110" s="22"/>
      <c r="B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x14ac:dyDescent="0.2">
      <c r="A111" s="22"/>
      <c r="B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x14ac:dyDescent="0.2">
      <c r="A112" s="22"/>
      <c r="B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x14ac:dyDescent="0.2">
      <c r="A113" s="22"/>
      <c r="B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x14ac:dyDescent="0.2">
      <c r="A114" s="22"/>
      <c r="B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x14ac:dyDescent="0.2">
      <c r="A115" s="22"/>
      <c r="B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x14ac:dyDescent="0.2">
      <c r="A116" s="22"/>
      <c r="B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x14ac:dyDescent="0.2">
      <c r="A117" s="22"/>
      <c r="B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x14ac:dyDescent="0.2">
      <c r="A118" s="22"/>
      <c r="B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x14ac:dyDescent="0.2">
      <c r="A119" s="22"/>
      <c r="B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x14ac:dyDescent="0.2">
      <c r="A120" s="22"/>
      <c r="B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x14ac:dyDescent="0.2">
      <c r="A121" s="22"/>
      <c r="B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x14ac:dyDescent="0.2">
      <c r="A122" s="22"/>
      <c r="B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x14ac:dyDescent="0.2">
      <c r="A123" s="22"/>
      <c r="B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x14ac:dyDescent="0.2">
      <c r="A124" s="22"/>
      <c r="B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x14ac:dyDescent="0.2">
      <c r="A125" s="22"/>
      <c r="B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x14ac:dyDescent="0.2">
      <c r="A126" s="22"/>
      <c r="B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x14ac:dyDescent="0.2">
      <c r="A127" s="22"/>
      <c r="B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x14ac:dyDescent="0.2">
      <c r="A128" s="22"/>
      <c r="B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x14ac:dyDescent="0.2">
      <c r="A129" s="22"/>
      <c r="B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x14ac:dyDescent="0.2">
      <c r="A130" s="22"/>
      <c r="B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x14ac:dyDescent="0.2">
      <c r="A131" s="22"/>
      <c r="B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x14ac:dyDescent="0.2">
      <c r="A132" s="22"/>
      <c r="B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x14ac:dyDescent="0.2">
      <c r="A133" s="22"/>
      <c r="B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x14ac:dyDescent="0.2">
      <c r="A134" s="22"/>
      <c r="B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x14ac:dyDescent="0.2">
      <c r="A135" s="22"/>
      <c r="B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x14ac:dyDescent="0.2">
      <c r="A136" s="22"/>
      <c r="B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x14ac:dyDescent="0.2">
      <c r="A137" s="22"/>
      <c r="B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x14ac:dyDescent="0.2">
      <c r="A138" s="22"/>
      <c r="B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x14ac:dyDescent="0.2">
      <c r="A139" s="22"/>
      <c r="B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x14ac:dyDescent="0.2">
      <c r="A140" s="22"/>
      <c r="B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x14ac:dyDescent="0.2">
      <c r="A141" s="22"/>
      <c r="B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x14ac:dyDescent="0.2">
      <c r="A142" s="22"/>
      <c r="B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x14ac:dyDescent="0.2">
      <c r="A143" s="22"/>
      <c r="B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x14ac:dyDescent="0.2">
      <c r="A144" s="22"/>
      <c r="B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x14ac:dyDescent="0.2">
      <c r="A145" s="22"/>
      <c r="B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x14ac:dyDescent="0.2">
      <c r="A146" s="22"/>
      <c r="B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x14ac:dyDescent="0.2">
      <c r="A147" s="22"/>
      <c r="B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x14ac:dyDescent="0.2">
      <c r="A148" s="22"/>
      <c r="B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x14ac:dyDescent="0.2">
      <c r="A149" s="22"/>
      <c r="B149" s="22"/>
      <c r="D149" s="22"/>
      <c r="E149" s="22"/>
      <c r="F149" s="22"/>
      <c r="G149" s="22"/>
      <c r="H149" s="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x14ac:dyDescent="0.2">
      <c r="A150" s="22"/>
      <c r="B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x14ac:dyDescent="0.2">
      <c r="A151" s="22"/>
      <c r="B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x14ac:dyDescent="0.2">
      <c r="A152" s="22"/>
      <c r="B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x14ac:dyDescent="0.2">
      <c r="A153" s="22"/>
      <c r="B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x14ac:dyDescent="0.2">
      <c r="A154" s="22"/>
      <c r="B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x14ac:dyDescent="0.2">
      <c r="A155" s="22"/>
      <c r="B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x14ac:dyDescent="0.2">
      <c r="A156" s="22"/>
      <c r="B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x14ac:dyDescent="0.2">
      <c r="A157" s="22"/>
      <c r="B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x14ac:dyDescent="0.2">
      <c r="A158" s="22"/>
      <c r="B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x14ac:dyDescent="0.2">
      <c r="A159" s="22"/>
      <c r="B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x14ac:dyDescent="0.2">
      <c r="A160" s="22"/>
      <c r="B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x14ac:dyDescent="0.2">
      <c r="A161" s="22"/>
      <c r="B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x14ac:dyDescent="0.2">
      <c r="A162" s="22"/>
      <c r="B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x14ac:dyDescent="0.2">
      <c r="A163" s="22"/>
      <c r="B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x14ac:dyDescent="0.2">
      <c r="A164" s="22"/>
      <c r="B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x14ac:dyDescent="0.2">
      <c r="A165" s="22"/>
      <c r="B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x14ac:dyDescent="0.2">
      <c r="A166" s="22"/>
      <c r="B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x14ac:dyDescent="0.2">
      <c r="A167" s="22"/>
      <c r="B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x14ac:dyDescent="0.2">
      <c r="A168" s="22"/>
      <c r="B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x14ac:dyDescent="0.2">
      <c r="A169" s="22"/>
      <c r="B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x14ac:dyDescent="0.2">
      <c r="A170" s="22"/>
      <c r="B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x14ac:dyDescent="0.2">
      <c r="A171" s="22"/>
      <c r="B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x14ac:dyDescent="0.2">
      <c r="A172" s="22"/>
      <c r="B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x14ac:dyDescent="0.2">
      <c r="A173" s="22"/>
      <c r="B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x14ac:dyDescent="0.2">
      <c r="A174" s="22"/>
      <c r="B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x14ac:dyDescent="0.2">
      <c r="A175" s="22"/>
      <c r="B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x14ac:dyDescent="0.2">
      <c r="A176" s="22"/>
      <c r="B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x14ac:dyDescent="0.2">
      <c r="A177" s="22"/>
      <c r="B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x14ac:dyDescent="0.2">
      <c r="A178" s="22"/>
      <c r="B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x14ac:dyDescent="0.2">
      <c r="A179" s="22"/>
      <c r="B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x14ac:dyDescent="0.2">
      <c r="A180" s="22"/>
      <c r="B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x14ac:dyDescent="0.2">
      <c r="A181" s="22"/>
      <c r="B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x14ac:dyDescent="0.2">
      <c r="A182" s="22"/>
      <c r="B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x14ac:dyDescent="0.2">
      <c r="A183" s="22"/>
      <c r="B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x14ac:dyDescent="0.2">
      <c r="A184" s="22"/>
      <c r="B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x14ac:dyDescent="0.2">
      <c r="A185" s="22"/>
      <c r="B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x14ac:dyDescent="0.2">
      <c r="A186" s="22"/>
      <c r="B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x14ac:dyDescent="0.2">
      <c r="A187" s="22"/>
      <c r="B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x14ac:dyDescent="0.2">
      <c r="A188" s="22"/>
      <c r="B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x14ac:dyDescent="0.2">
      <c r="A189" s="22"/>
      <c r="B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x14ac:dyDescent="0.2">
      <c r="A190" s="22"/>
      <c r="B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x14ac:dyDescent="0.2">
      <c r="A191" s="22"/>
      <c r="B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x14ac:dyDescent="0.2">
      <c r="A192" s="22"/>
      <c r="B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x14ac:dyDescent="0.2">
      <c r="A193" s="22"/>
      <c r="B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x14ac:dyDescent="0.2">
      <c r="A194" s="22"/>
      <c r="B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x14ac:dyDescent="0.2">
      <c r="A195" s="22"/>
      <c r="B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x14ac:dyDescent="0.2">
      <c r="A196" s="22"/>
      <c r="B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x14ac:dyDescent="0.2">
      <c r="A197" s="22"/>
      <c r="B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x14ac:dyDescent="0.2">
      <c r="A198" s="22"/>
      <c r="B198" s="22"/>
      <c r="D198" s="22"/>
      <c r="E198" s="22"/>
      <c r="F198" s="22"/>
      <c r="G198" s="22"/>
      <c r="H198" s="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x14ac:dyDescent="0.2">
      <c r="A199" s="22"/>
      <c r="B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x14ac:dyDescent="0.2">
      <c r="A200" s="22"/>
      <c r="B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x14ac:dyDescent="0.2">
      <c r="A201" s="22"/>
      <c r="B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x14ac:dyDescent="0.2">
      <c r="A202" s="22"/>
      <c r="B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x14ac:dyDescent="0.2">
      <c r="A203" s="22"/>
      <c r="B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x14ac:dyDescent="0.2">
      <c r="A204" s="22"/>
      <c r="B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x14ac:dyDescent="0.2">
      <c r="A205" s="22"/>
      <c r="B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x14ac:dyDescent="0.2">
      <c r="A206" s="22"/>
      <c r="B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x14ac:dyDescent="0.2">
      <c r="A207" s="22"/>
      <c r="B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x14ac:dyDescent="0.2">
      <c r="A208" s="22"/>
      <c r="B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x14ac:dyDescent="0.2">
      <c r="A209" s="22"/>
      <c r="B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x14ac:dyDescent="0.2">
      <c r="A210" s="22"/>
      <c r="B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x14ac:dyDescent="0.2">
      <c r="A211" s="22"/>
      <c r="B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x14ac:dyDescent="0.2">
      <c r="A212" s="22"/>
      <c r="B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x14ac:dyDescent="0.2">
      <c r="A213" s="22"/>
      <c r="B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x14ac:dyDescent="0.2">
      <c r="A214" s="22"/>
      <c r="B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x14ac:dyDescent="0.2">
      <c r="A215" s="22"/>
      <c r="B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x14ac:dyDescent="0.2">
      <c r="A216" s="22"/>
      <c r="B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x14ac:dyDescent="0.2">
      <c r="A217" s="22"/>
      <c r="B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x14ac:dyDescent="0.2">
      <c r="A218" s="22"/>
      <c r="B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x14ac:dyDescent="0.2">
      <c r="A219" s="22"/>
      <c r="B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x14ac:dyDescent="0.2">
      <c r="A220" s="22"/>
      <c r="B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x14ac:dyDescent="0.2">
      <c r="A221" s="22"/>
      <c r="B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x14ac:dyDescent="0.2">
      <c r="A222" s="22"/>
      <c r="B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x14ac:dyDescent="0.2">
      <c r="A223" s="22"/>
      <c r="B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x14ac:dyDescent="0.2">
      <c r="A224" s="22"/>
      <c r="B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x14ac:dyDescent="0.2">
      <c r="A225" s="22"/>
      <c r="B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x14ac:dyDescent="0.2">
      <c r="A226" s="22"/>
      <c r="B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x14ac:dyDescent="0.2">
      <c r="A227" s="22"/>
      <c r="B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x14ac:dyDescent="0.2">
      <c r="A228" s="22"/>
      <c r="B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x14ac:dyDescent="0.2">
      <c r="A229" s="22"/>
      <c r="B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x14ac:dyDescent="0.2">
      <c r="A230" s="22"/>
      <c r="B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x14ac:dyDescent="0.2">
      <c r="A231" s="22"/>
      <c r="B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x14ac:dyDescent="0.2">
      <c r="A232" s="22"/>
      <c r="B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x14ac:dyDescent="0.2">
      <c r="A233" s="22"/>
      <c r="B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x14ac:dyDescent="0.2">
      <c r="A234" s="22"/>
      <c r="B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x14ac:dyDescent="0.2">
      <c r="A235" s="22"/>
      <c r="B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x14ac:dyDescent="0.2">
      <c r="A236" s="22"/>
      <c r="B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x14ac:dyDescent="0.2">
      <c r="A237" s="22"/>
      <c r="B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x14ac:dyDescent="0.2">
      <c r="A238" s="22"/>
      <c r="B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x14ac:dyDescent="0.2">
      <c r="A239" s="22"/>
      <c r="B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x14ac:dyDescent="0.2">
      <c r="A240" s="22"/>
      <c r="B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x14ac:dyDescent="0.2">
      <c r="A241" s="22"/>
      <c r="B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x14ac:dyDescent="0.2">
      <c r="A242" s="22"/>
      <c r="B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x14ac:dyDescent="0.2">
      <c r="A243" s="22"/>
      <c r="B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x14ac:dyDescent="0.2">
      <c r="A244" s="22"/>
      <c r="B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x14ac:dyDescent="0.2">
      <c r="A245" s="22"/>
      <c r="B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x14ac:dyDescent="0.2">
      <c r="A246" s="22"/>
      <c r="B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x14ac:dyDescent="0.2">
      <c r="A247" s="22"/>
      <c r="B247" s="22"/>
      <c r="D247" s="22"/>
      <c r="E247" s="22"/>
      <c r="F247" s="22"/>
      <c r="G247" s="22"/>
      <c r="H247" s="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x14ac:dyDescent="0.2">
      <c r="A248" s="22"/>
      <c r="B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x14ac:dyDescent="0.2">
      <c r="A249" s="22"/>
      <c r="B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x14ac:dyDescent="0.2">
      <c r="A250" s="22"/>
      <c r="B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x14ac:dyDescent="0.2">
      <c r="A251" s="22"/>
      <c r="B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x14ac:dyDescent="0.2">
      <c r="A252" s="22"/>
      <c r="B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x14ac:dyDescent="0.2">
      <c r="A253" s="22"/>
      <c r="B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x14ac:dyDescent="0.2">
      <c r="A254" s="22"/>
      <c r="B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x14ac:dyDescent="0.2">
      <c r="A255" s="22"/>
      <c r="B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x14ac:dyDescent="0.2">
      <c r="A256" s="22"/>
      <c r="B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x14ac:dyDescent="0.2">
      <c r="A257" s="22"/>
      <c r="B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x14ac:dyDescent="0.2">
      <c r="A258" s="22"/>
      <c r="B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x14ac:dyDescent="0.2">
      <c r="A259" s="22"/>
      <c r="B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x14ac:dyDescent="0.2">
      <c r="A260" s="22"/>
      <c r="B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x14ac:dyDescent="0.2">
      <c r="A261" s="22"/>
      <c r="B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x14ac:dyDescent="0.2">
      <c r="A262" s="22"/>
      <c r="B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x14ac:dyDescent="0.2">
      <c r="A263" s="22"/>
      <c r="B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x14ac:dyDescent="0.2">
      <c r="A264" s="22"/>
      <c r="B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x14ac:dyDescent="0.2">
      <c r="A265" s="22"/>
      <c r="B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x14ac:dyDescent="0.2">
      <c r="A266" s="22"/>
      <c r="B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x14ac:dyDescent="0.2">
      <c r="A267" s="22"/>
      <c r="B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x14ac:dyDescent="0.2">
      <c r="A268" s="22"/>
      <c r="B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x14ac:dyDescent="0.2">
      <c r="A269" s="22"/>
      <c r="B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x14ac:dyDescent="0.2">
      <c r="A270" s="22"/>
      <c r="B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x14ac:dyDescent="0.2">
      <c r="A271" s="22"/>
      <c r="B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x14ac:dyDescent="0.2">
      <c r="A272" s="22"/>
      <c r="B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x14ac:dyDescent="0.2">
      <c r="A273" s="22"/>
      <c r="B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x14ac:dyDescent="0.2">
      <c r="A274" s="22"/>
      <c r="B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x14ac:dyDescent="0.2">
      <c r="A275" s="22"/>
      <c r="B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x14ac:dyDescent="0.2">
      <c r="A276" s="22"/>
      <c r="B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x14ac:dyDescent="0.2">
      <c r="A277" s="22"/>
      <c r="B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x14ac:dyDescent="0.2">
      <c r="A278" s="22"/>
      <c r="B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x14ac:dyDescent="0.2">
      <c r="A279" s="22"/>
      <c r="B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x14ac:dyDescent="0.2">
      <c r="A280" s="22"/>
      <c r="B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x14ac:dyDescent="0.2">
      <c r="A281" s="22"/>
      <c r="B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x14ac:dyDescent="0.2">
      <c r="A282" s="22"/>
      <c r="B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x14ac:dyDescent="0.2">
      <c r="A283" s="22"/>
      <c r="B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x14ac:dyDescent="0.2">
      <c r="A284" s="22"/>
      <c r="B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x14ac:dyDescent="0.2">
      <c r="A285" s="22"/>
      <c r="B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x14ac:dyDescent="0.2">
      <c r="A286" s="22"/>
      <c r="B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x14ac:dyDescent="0.2">
      <c r="A287" s="22"/>
      <c r="B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x14ac:dyDescent="0.2">
      <c r="A288" s="22"/>
      <c r="B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x14ac:dyDescent="0.2">
      <c r="A289" s="22"/>
      <c r="B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x14ac:dyDescent="0.2">
      <c r="A290" s="22"/>
      <c r="B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x14ac:dyDescent="0.2">
      <c r="A291" s="22"/>
      <c r="B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x14ac:dyDescent="0.2">
      <c r="A292" s="22"/>
      <c r="B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x14ac:dyDescent="0.2">
      <c r="A293" s="22"/>
      <c r="B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x14ac:dyDescent="0.2">
      <c r="A294" s="22"/>
      <c r="B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x14ac:dyDescent="0.2">
      <c r="A295" s="22"/>
      <c r="B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x14ac:dyDescent="0.2">
      <c r="A296" s="22"/>
      <c r="B296" s="22"/>
      <c r="D296" s="22"/>
      <c r="E296" s="22"/>
      <c r="F296" s="22"/>
      <c r="G296" s="22"/>
      <c r="H296" s="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x14ac:dyDescent="0.2">
      <c r="A297" s="22"/>
      <c r="B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x14ac:dyDescent="0.2">
      <c r="A298" s="22"/>
      <c r="B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x14ac:dyDescent="0.2">
      <c r="A299" s="22"/>
      <c r="B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x14ac:dyDescent="0.2">
      <c r="A300" s="22"/>
      <c r="B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spans="1:30" x14ac:dyDescent="0.2">
      <c r="A301" s="22"/>
      <c r="B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spans="1:30" x14ac:dyDescent="0.2">
      <c r="A302" s="22"/>
      <c r="B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spans="1:30" x14ac:dyDescent="0.2">
      <c r="A303" s="22"/>
      <c r="B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spans="1:30" x14ac:dyDescent="0.2">
      <c r="A304" s="22"/>
      <c r="B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spans="1:30" x14ac:dyDescent="0.2">
      <c r="A305" s="22"/>
      <c r="B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spans="1:30" x14ac:dyDescent="0.2">
      <c r="A306" s="22"/>
      <c r="B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spans="1:30" x14ac:dyDescent="0.2">
      <c r="A307" s="22"/>
      <c r="B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spans="1:30" x14ac:dyDescent="0.2">
      <c r="A308" s="22"/>
      <c r="B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spans="1:30" x14ac:dyDescent="0.2">
      <c r="A309" s="22"/>
      <c r="B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x14ac:dyDescent="0.2">
      <c r="A310" s="22"/>
      <c r="B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spans="1:30" x14ac:dyDescent="0.2">
      <c r="A311" s="22"/>
      <c r="B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spans="1:30" x14ac:dyDescent="0.2">
      <c r="A312" s="22"/>
      <c r="B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spans="1:30" x14ac:dyDescent="0.2">
      <c r="A313" s="22"/>
      <c r="B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spans="1:30" x14ac:dyDescent="0.2">
      <c r="A314" s="22"/>
      <c r="B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spans="1:30" x14ac:dyDescent="0.2">
      <c r="A315" s="22"/>
      <c r="B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spans="1:30" x14ac:dyDescent="0.2">
      <c r="A316" s="22"/>
      <c r="B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spans="1:30" x14ac:dyDescent="0.2">
      <c r="A317" s="22"/>
      <c r="B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spans="1:30" x14ac:dyDescent="0.2">
      <c r="A318" s="22"/>
      <c r="B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spans="1:30" x14ac:dyDescent="0.2">
      <c r="A319" s="22"/>
      <c r="B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spans="1:30" x14ac:dyDescent="0.2">
      <c r="A320" s="22"/>
      <c r="B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spans="1:30" x14ac:dyDescent="0.2">
      <c r="A321" s="22"/>
      <c r="B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spans="1:30" x14ac:dyDescent="0.2">
      <c r="A322" s="22"/>
      <c r="B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spans="1:30" x14ac:dyDescent="0.2">
      <c r="A323" s="22"/>
      <c r="B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spans="1:30" x14ac:dyDescent="0.2">
      <c r="A324" s="22"/>
      <c r="B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spans="1:30" x14ac:dyDescent="0.2">
      <c r="A325" s="22"/>
      <c r="B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spans="1:30" x14ac:dyDescent="0.2">
      <c r="A326" s="22"/>
      <c r="B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spans="1:30" x14ac:dyDescent="0.2">
      <c r="A327" s="22"/>
      <c r="B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spans="1:30" x14ac:dyDescent="0.2">
      <c r="A328" s="22"/>
      <c r="B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spans="1:30" x14ac:dyDescent="0.2">
      <c r="A329" s="22"/>
      <c r="B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spans="1:30" x14ac:dyDescent="0.2">
      <c r="A330" s="22"/>
      <c r="B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spans="1:30" x14ac:dyDescent="0.2">
      <c r="A331" s="22"/>
      <c r="B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spans="1:30" x14ac:dyDescent="0.2">
      <c r="A332" s="22"/>
      <c r="B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spans="1:30" x14ac:dyDescent="0.2">
      <c r="A333" s="22"/>
      <c r="B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spans="1:30" x14ac:dyDescent="0.2">
      <c r="A334" s="22"/>
      <c r="B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spans="1:30" x14ac:dyDescent="0.2">
      <c r="A335" s="22"/>
      <c r="B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spans="1:30" x14ac:dyDescent="0.2">
      <c r="A336" s="22"/>
      <c r="B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spans="1:30" x14ac:dyDescent="0.2">
      <c r="A337" s="22"/>
      <c r="B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spans="1:30" x14ac:dyDescent="0.2">
      <c r="A338" s="22"/>
      <c r="B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spans="1:30" x14ac:dyDescent="0.2">
      <c r="A339" s="22"/>
      <c r="B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spans="1:30" x14ac:dyDescent="0.2">
      <c r="A340" s="22"/>
      <c r="B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spans="1:30" x14ac:dyDescent="0.2">
      <c r="A341" s="22"/>
      <c r="B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spans="1:30" x14ac:dyDescent="0.2">
      <c r="A342" s="22"/>
      <c r="B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spans="1:30" x14ac:dyDescent="0.2">
      <c r="A343" s="22"/>
      <c r="B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spans="1:30" x14ac:dyDescent="0.2">
      <c r="A344" s="22"/>
      <c r="B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spans="1:30" x14ac:dyDescent="0.2">
      <c r="A345" s="22"/>
      <c r="B345" s="22"/>
      <c r="D345" s="22"/>
      <c r="E345" s="22"/>
      <c r="F345" s="22"/>
      <c r="G345" s="22"/>
      <c r="H345" s="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spans="1:30" x14ac:dyDescent="0.2">
      <c r="A346" s="22"/>
      <c r="B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spans="1:30" x14ac:dyDescent="0.2">
      <c r="A347" s="22"/>
      <c r="B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spans="1:30" x14ac:dyDescent="0.2">
      <c r="A348" s="22"/>
      <c r="B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spans="1:30" x14ac:dyDescent="0.2">
      <c r="A349" s="22"/>
      <c r="B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spans="1:30" x14ac:dyDescent="0.2">
      <c r="A350" s="22"/>
      <c r="B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spans="1:30" x14ac:dyDescent="0.2">
      <c r="A351" s="22"/>
      <c r="B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spans="1:30" x14ac:dyDescent="0.2">
      <c r="A352" s="22"/>
      <c r="B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spans="1:30" x14ac:dyDescent="0.2">
      <c r="A353" s="22"/>
      <c r="B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spans="1:30" x14ac:dyDescent="0.2">
      <c r="A354" s="22"/>
      <c r="B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spans="1:30" x14ac:dyDescent="0.2">
      <c r="A355" s="22"/>
      <c r="B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spans="1:30" x14ac:dyDescent="0.2">
      <c r="A356" s="22"/>
      <c r="B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spans="1:30" x14ac:dyDescent="0.2">
      <c r="A357" s="22"/>
      <c r="B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spans="1:30" x14ac:dyDescent="0.2">
      <c r="A358" s="22"/>
      <c r="B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spans="1:30" x14ac:dyDescent="0.2">
      <c r="A359" s="22"/>
      <c r="B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spans="1:30" x14ac:dyDescent="0.2">
      <c r="A360" s="22"/>
      <c r="B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spans="1:30" x14ac:dyDescent="0.2">
      <c r="A361" s="22"/>
      <c r="B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spans="1:30" x14ac:dyDescent="0.2">
      <c r="A362" s="22"/>
      <c r="B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x14ac:dyDescent="0.2">
      <c r="A363" s="22"/>
      <c r="B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x14ac:dyDescent="0.2">
      <c r="A364" s="22"/>
      <c r="B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x14ac:dyDescent="0.2">
      <c r="A365" s="22"/>
      <c r="B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x14ac:dyDescent="0.2">
      <c r="A366" s="22"/>
      <c r="B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x14ac:dyDescent="0.2">
      <c r="A367" s="22"/>
      <c r="B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x14ac:dyDescent="0.2">
      <c r="A368" s="22"/>
      <c r="B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x14ac:dyDescent="0.2">
      <c r="A369" s="22"/>
      <c r="B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x14ac:dyDescent="0.2">
      <c r="A370" s="22"/>
      <c r="B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x14ac:dyDescent="0.2">
      <c r="A371" s="22"/>
      <c r="B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x14ac:dyDescent="0.2">
      <c r="A372" s="22"/>
      <c r="B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x14ac:dyDescent="0.2">
      <c r="A373" s="22"/>
      <c r="B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x14ac:dyDescent="0.2">
      <c r="A374" s="22"/>
      <c r="B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x14ac:dyDescent="0.2">
      <c r="A375" s="22"/>
      <c r="B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x14ac:dyDescent="0.2">
      <c r="A376" s="22"/>
      <c r="B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x14ac:dyDescent="0.2">
      <c r="A377" s="22"/>
      <c r="B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x14ac:dyDescent="0.2">
      <c r="A378" s="22"/>
      <c r="B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x14ac:dyDescent="0.2">
      <c r="A379" s="22"/>
      <c r="B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x14ac:dyDescent="0.2">
      <c r="A380" s="22"/>
      <c r="B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x14ac:dyDescent="0.2">
      <c r="A381" s="22"/>
      <c r="B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x14ac:dyDescent="0.2">
      <c r="A382" s="22"/>
      <c r="B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x14ac:dyDescent="0.2">
      <c r="A383" s="22"/>
      <c r="B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x14ac:dyDescent="0.2">
      <c r="A384" s="22"/>
      <c r="B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x14ac:dyDescent="0.2">
      <c r="A385" s="22"/>
      <c r="B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x14ac:dyDescent="0.2">
      <c r="A386" s="22"/>
      <c r="B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x14ac:dyDescent="0.2">
      <c r="A387" s="22"/>
      <c r="B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x14ac:dyDescent="0.2">
      <c r="A388" s="22"/>
      <c r="B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x14ac:dyDescent="0.2">
      <c r="A389" s="22"/>
      <c r="B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x14ac:dyDescent="0.2">
      <c r="A390" s="22"/>
      <c r="B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x14ac:dyDescent="0.2">
      <c r="A391" s="22"/>
      <c r="B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x14ac:dyDescent="0.2">
      <c r="A392" s="22"/>
      <c r="B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x14ac:dyDescent="0.2">
      <c r="A393" s="22"/>
      <c r="B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x14ac:dyDescent="0.2">
      <c r="A394" s="22"/>
      <c r="B394" s="22"/>
      <c r="D394" s="22"/>
      <c r="E394" s="22"/>
      <c r="F394" s="22"/>
      <c r="G394" s="22"/>
      <c r="H394" s="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x14ac:dyDescent="0.2">
      <c r="A395" s="22"/>
      <c r="B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x14ac:dyDescent="0.2">
      <c r="A396" s="22"/>
      <c r="B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x14ac:dyDescent="0.2">
      <c r="A397" s="22"/>
      <c r="B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x14ac:dyDescent="0.2">
      <c r="A398" s="22"/>
      <c r="B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x14ac:dyDescent="0.2">
      <c r="A399" s="22"/>
      <c r="B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x14ac:dyDescent="0.2">
      <c r="A400" s="22"/>
      <c r="B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x14ac:dyDescent="0.2">
      <c r="A401" s="22"/>
      <c r="B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x14ac:dyDescent="0.2">
      <c r="A402" s="22"/>
      <c r="B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x14ac:dyDescent="0.2">
      <c r="A403" s="22"/>
      <c r="B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x14ac:dyDescent="0.2">
      <c r="A404" s="22"/>
      <c r="B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x14ac:dyDescent="0.2">
      <c r="A405" s="22"/>
      <c r="B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x14ac:dyDescent="0.2">
      <c r="A406" s="22"/>
      <c r="B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x14ac:dyDescent="0.2">
      <c r="A407" s="22"/>
      <c r="B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x14ac:dyDescent="0.2">
      <c r="A408" s="22"/>
      <c r="B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x14ac:dyDescent="0.2">
      <c r="A409" s="22"/>
      <c r="B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x14ac:dyDescent="0.2">
      <c r="A410" s="22"/>
      <c r="B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x14ac:dyDescent="0.2">
      <c r="A411" s="22"/>
      <c r="B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x14ac:dyDescent="0.2">
      <c r="A412" s="22"/>
      <c r="B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x14ac:dyDescent="0.2">
      <c r="A413" s="22"/>
      <c r="B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x14ac:dyDescent="0.2">
      <c r="A414" s="22"/>
      <c r="B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x14ac:dyDescent="0.2">
      <c r="A415" s="22"/>
      <c r="B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x14ac:dyDescent="0.2">
      <c r="A416" s="22"/>
      <c r="B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x14ac:dyDescent="0.2">
      <c r="A417" s="22"/>
      <c r="B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x14ac:dyDescent="0.2">
      <c r="A418" s="22"/>
      <c r="B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x14ac:dyDescent="0.2">
      <c r="A419" s="22"/>
      <c r="B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x14ac:dyDescent="0.2">
      <c r="A420" s="22"/>
      <c r="B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x14ac:dyDescent="0.2">
      <c r="A421" s="22"/>
      <c r="B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x14ac:dyDescent="0.2">
      <c r="A422" s="22"/>
      <c r="B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x14ac:dyDescent="0.2">
      <c r="A423" s="22"/>
      <c r="B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x14ac:dyDescent="0.2">
      <c r="A424" s="22"/>
      <c r="B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x14ac:dyDescent="0.2">
      <c r="A425" s="22"/>
      <c r="B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x14ac:dyDescent="0.2">
      <c r="A426" s="22"/>
      <c r="B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x14ac:dyDescent="0.2">
      <c r="A427" s="22"/>
      <c r="B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x14ac:dyDescent="0.2">
      <c r="A428" s="22"/>
      <c r="B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x14ac:dyDescent="0.2">
      <c r="A429" s="22"/>
      <c r="B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x14ac:dyDescent="0.2">
      <c r="A430" s="22"/>
      <c r="B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x14ac:dyDescent="0.2">
      <c r="A431" s="22"/>
      <c r="B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x14ac:dyDescent="0.2">
      <c r="A432" s="22"/>
      <c r="B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x14ac:dyDescent="0.2">
      <c r="A433" s="22"/>
      <c r="B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x14ac:dyDescent="0.2">
      <c r="A434" s="22"/>
      <c r="B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x14ac:dyDescent="0.2">
      <c r="A435" s="22"/>
      <c r="B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x14ac:dyDescent="0.2">
      <c r="A436" s="22"/>
      <c r="B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x14ac:dyDescent="0.2">
      <c r="A437" s="22"/>
      <c r="B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x14ac:dyDescent="0.2">
      <c r="A438" s="22"/>
      <c r="B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x14ac:dyDescent="0.2">
      <c r="A439" s="22"/>
      <c r="B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x14ac:dyDescent="0.2">
      <c r="A440" s="22"/>
      <c r="B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x14ac:dyDescent="0.2">
      <c r="A441" s="22"/>
      <c r="B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x14ac:dyDescent="0.2">
      <c r="A442" s="22"/>
      <c r="B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x14ac:dyDescent="0.2">
      <c r="A443" s="22"/>
      <c r="B443" s="22"/>
      <c r="D443" s="22"/>
      <c r="E443" s="22"/>
      <c r="F443" s="22"/>
      <c r="G443" s="22"/>
      <c r="H443" s="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x14ac:dyDescent="0.2">
      <c r="A444" s="22"/>
      <c r="B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x14ac:dyDescent="0.2">
      <c r="A445" s="22"/>
      <c r="B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x14ac:dyDescent="0.2">
      <c r="A446" s="22"/>
      <c r="B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x14ac:dyDescent="0.2">
      <c r="A447" s="22"/>
      <c r="B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x14ac:dyDescent="0.2">
      <c r="A448" s="22"/>
      <c r="B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x14ac:dyDescent="0.2">
      <c r="A449" s="22"/>
      <c r="B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x14ac:dyDescent="0.2">
      <c r="A450" s="22"/>
      <c r="B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x14ac:dyDescent="0.2">
      <c r="A451" s="22"/>
      <c r="B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x14ac:dyDescent="0.2">
      <c r="A452" s="22"/>
      <c r="B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x14ac:dyDescent="0.2">
      <c r="A453" s="22"/>
      <c r="B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x14ac:dyDescent="0.2">
      <c r="A454" s="22"/>
      <c r="B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x14ac:dyDescent="0.2">
      <c r="A455" s="22"/>
      <c r="B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x14ac:dyDescent="0.2">
      <c r="A456" s="22"/>
      <c r="B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x14ac:dyDescent="0.2">
      <c r="A457" s="22"/>
      <c r="B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x14ac:dyDescent="0.2">
      <c r="A458" s="22"/>
      <c r="B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x14ac:dyDescent="0.2">
      <c r="A459" s="22"/>
      <c r="B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x14ac:dyDescent="0.2">
      <c r="A460" s="22"/>
      <c r="B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x14ac:dyDescent="0.2">
      <c r="A461" s="22"/>
      <c r="B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x14ac:dyDescent="0.2">
      <c r="A462" s="22"/>
      <c r="B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x14ac:dyDescent="0.2">
      <c r="A463" s="22"/>
      <c r="B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x14ac:dyDescent="0.2">
      <c r="A464" s="22"/>
      <c r="B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x14ac:dyDescent="0.2">
      <c r="A465" s="22"/>
      <c r="B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x14ac:dyDescent="0.2">
      <c r="A466" s="22"/>
      <c r="B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x14ac:dyDescent="0.2">
      <c r="A467" s="22"/>
      <c r="B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x14ac:dyDescent="0.2">
      <c r="A468" s="22"/>
      <c r="B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x14ac:dyDescent="0.2">
      <c r="A469" s="22"/>
      <c r="B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x14ac:dyDescent="0.2">
      <c r="A470" s="22"/>
      <c r="B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x14ac:dyDescent="0.2">
      <c r="A471" s="22"/>
      <c r="B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x14ac:dyDescent="0.2">
      <c r="A472" s="22"/>
      <c r="B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x14ac:dyDescent="0.2">
      <c r="A473" s="22"/>
      <c r="B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x14ac:dyDescent="0.2">
      <c r="A474" s="22"/>
      <c r="B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x14ac:dyDescent="0.2">
      <c r="A475" s="22"/>
      <c r="B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x14ac:dyDescent="0.2">
      <c r="A476" s="22"/>
      <c r="B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x14ac:dyDescent="0.2">
      <c r="A477" s="22"/>
      <c r="B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x14ac:dyDescent="0.2">
      <c r="A478" s="22"/>
      <c r="B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x14ac:dyDescent="0.2">
      <c r="A479" s="22"/>
      <c r="B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x14ac:dyDescent="0.2">
      <c r="A480" s="22"/>
      <c r="B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x14ac:dyDescent="0.2">
      <c r="A481" s="22"/>
      <c r="B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x14ac:dyDescent="0.2">
      <c r="A482" s="22"/>
      <c r="B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x14ac:dyDescent="0.2">
      <c r="A483" s="22"/>
      <c r="B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x14ac:dyDescent="0.2">
      <c r="A484" s="22"/>
      <c r="B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x14ac:dyDescent="0.2">
      <c r="A485" s="22"/>
      <c r="B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x14ac:dyDescent="0.2">
      <c r="A486" s="22"/>
      <c r="B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x14ac:dyDescent="0.2">
      <c r="A487" s="22"/>
      <c r="B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x14ac:dyDescent="0.2">
      <c r="A488" s="22"/>
      <c r="B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x14ac:dyDescent="0.2">
      <c r="A489" s="22"/>
      <c r="B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x14ac:dyDescent="0.2">
      <c r="A490" s="22"/>
      <c r="B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x14ac:dyDescent="0.2">
      <c r="A491" s="22"/>
      <c r="B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x14ac:dyDescent="0.2">
      <c r="A492" s="22"/>
      <c r="B492" s="22"/>
      <c r="D492" s="22"/>
      <c r="E492" s="22"/>
      <c r="F492" s="22"/>
      <c r="G492" s="22"/>
      <c r="H492" s="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x14ac:dyDescent="0.2">
      <c r="A493" s="22"/>
      <c r="B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x14ac:dyDescent="0.2">
      <c r="A494" s="22"/>
      <c r="B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x14ac:dyDescent="0.2">
      <c r="A495" s="22"/>
      <c r="B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x14ac:dyDescent="0.2">
      <c r="A496" s="22"/>
      <c r="B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x14ac:dyDescent="0.2">
      <c r="A497" s="22"/>
      <c r="B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x14ac:dyDescent="0.2">
      <c r="A498" s="22"/>
      <c r="B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x14ac:dyDescent="0.2">
      <c r="A499" s="22"/>
      <c r="B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x14ac:dyDescent="0.2">
      <c r="A500" s="22"/>
      <c r="B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x14ac:dyDescent="0.2">
      <c r="A501" s="22"/>
      <c r="B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x14ac:dyDescent="0.2">
      <c r="A502" s="22"/>
      <c r="B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x14ac:dyDescent="0.2">
      <c r="A503" s="22"/>
      <c r="B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x14ac:dyDescent="0.2">
      <c r="A504" s="22"/>
      <c r="B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x14ac:dyDescent="0.2">
      <c r="A505" s="22"/>
      <c r="B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x14ac:dyDescent="0.2">
      <c r="A506" s="22"/>
      <c r="B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x14ac:dyDescent="0.2">
      <c r="A507" s="22"/>
      <c r="B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x14ac:dyDescent="0.2">
      <c r="A508" s="22"/>
      <c r="B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x14ac:dyDescent="0.2">
      <c r="A509" s="22"/>
      <c r="B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x14ac:dyDescent="0.2">
      <c r="A510" s="22"/>
      <c r="B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x14ac:dyDescent="0.2">
      <c r="A511" s="22"/>
      <c r="B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x14ac:dyDescent="0.2">
      <c r="A512" s="22"/>
      <c r="B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x14ac:dyDescent="0.2">
      <c r="A513" s="22"/>
      <c r="B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x14ac:dyDescent="0.2">
      <c r="A514" s="22"/>
      <c r="B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x14ac:dyDescent="0.2">
      <c r="A515" s="22"/>
      <c r="B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x14ac:dyDescent="0.2">
      <c r="A516" s="22"/>
      <c r="B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x14ac:dyDescent="0.2">
      <c r="A517" s="22"/>
      <c r="B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x14ac:dyDescent="0.2">
      <c r="A518" s="22"/>
      <c r="B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x14ac:dyDescent="0.2">
      <c r="A519" s="22"/>
      <c r="B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x14ac:dyDescent="0.2">
      <c r="A520" s="22"/>
      <c r="B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x14ac:dyDescent="0.2">
      <c r="A521" s="22"/>
      <c r="B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x14ac:dyDescent="0.2">
      <c r="A522" s="22"/>
      <c r="B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x14ac:dyDescent="0.2">
      <c r="A523" s="22"/>
      <c r="B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x14ac:dyDescent="0.2">
      <c r="A524" s="22"/>
      <c r="B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x14ac:dyDescent="0.2">
      <c r="A525" s="22"/>
      <c r="B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x14ac:dyDescent="0.2">
      <c r="A526" s="22"/>
      <c r="B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x14ac:dyDescent="0.2">
      <c r="A527" s="22"/>
      <c r="B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x14ac:dyDescent="0.2">
      <c r="A528" s="22"/>
      <c r="B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x14ac:dyDescent="0.2">
      <c r="A529" s="22"/>
      <c r="B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x14ac:dyDescent="0.2">
      <c r="A530" s="22"/>
      <c r="B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x14ac:dyDescent="0.2">
      <c r="A531" s="22"/>
      <c r="B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x14ac:dyDescent="0.2">
      <c r="A532" s="22"/>
      <c r="B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x14ac:dyDescent="0.2">
      <c r="A533" s="22"/>
      <c r="B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x14ac:dyDescent="0.2">
      <c r="A534" s="22"/>
      <c r="B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x14ac:dyDescent="0.2">
      <c r="A535" s="22"/>
      <c r="B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x14ac:dyDescent="0.2">
      <c r="A536" s="22"/>
      <c r="B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x14ac:dyDescent="0.2">
      <c r="A537" s="22"/>
      <c r="B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x14ac:dyDescent="0.2">
      <c r="A538" s="22"/>
      <c r="B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x14ac:dyDescent="0.2">
      <c r="A539" s="22"/>
      <c r="B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x14ac:dyDescent="0.2">
      <c r="A540" s="22"/>
      <c r="B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x14ac:dyDescent="0.2">
      <c r="A541" s="22"/>
      <c r="B541" s="22"/>
      <c r="D541" s="22"/>
      <c r="E541" s="22"/>
      <c r="F541" s="22"/>
      <c r="G541" s="22"/>
      <c r="H541" s="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x14ac:dyDescent="0.2">
      <c r="A542" s="22"/>
      <c r="B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x14ac:dyDescent="0.2">
      <c r="A543" s="22"/>
      <c r="B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x14ac:dyDescent="0.2">
      <c r="A544" s="22"/>
      <c r="B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x14ac:dyDescent="0.2">
      <c r="A545" s="22"/>
      <c r="B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x14ac:dyDescent="0.2">
      <c r="A546" s="22"/>
      <c r="B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x14ac:dyDescent="0.2">
      <c r="A547" s="22"/>
      <c r="B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x14ac:dyDescent="0.2">
      <c r="A548" s="22"/>
      <c r="B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x14ac:dyDescent="0.2">
      <c r="A549" s="22"/>
      <c r="B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x14ac:dyDescent="0.2">
      <c r="A550" s="22"/>
      <c r="B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x14ac:dyDescent="0.2">
      <c r="A551" s="22"/>
      <c r="B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x14ac:dyDescent="0.2">
      <c r="A552" s="22"/>
      <c r="B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x14ac:dyDescent="0.2">
      <c r="A553" s="22"/>
      <c r="B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x14ac:dyDescent="0.2">
      <c r="A554" s="22"/>
      <c r="B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x14ac:dyDescent="0.2">
      <c r="A555" s="22"/>
      <c r="B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x14ac:dyDescent="0.2">
      <c r="A556" s="22"/>
      <c r="B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x14ac:dyDescent="0.2">
      <c r="A557" s="22"/>
      <c r="B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x14ac:dyDescent="0.2">
      <c r="A558" s="22"/>
      <c r="B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x14ac:dyDescent="0.2">
      <c r="A559" s="22"/>
      <c r="B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x14ac:dyDescent="0.2">
      <c r="A560" s="22"/>
      <c r="B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x14ac:dyDescent="0.2">
      <c r="A561" s="22"/>
      <c r="B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x14ac:dyDescent="0.2">
      <c r="A562" s="22"/>
      <c r="B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x14ac:dyDescent="0.2">
      <c r="A563" s="22"/>
      <c r="B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x14ac:dyDescent="0.2">
      <c r="A564" s="22"/>
      <c r="B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x14ac:dyDescent="0.2">
      <c r="A565" s="22"/>
      <c r="B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x14ac:dyDescent="0.2">
      <c r="A566" s="22"/>
      <c r="B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x14ac:dyDescent="0.2">
      <c r="A567" s="22"/>
      <c r="B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x14ac:dyDescent="0.2">
      <c r="A568" s="22"/>
      <c r="B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x14ac:dyDescent="0.2">
      <c r="A569" s="22"/>
      <c r="B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x14ac:dyDescent="0.2">
      <c r="A570" s="22"/>
      <c r="B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x14ac:dyDescent="0.2">
      <c r="A571" s="22"/>
      <c r="B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x14ac:dyDescent="0.2">
      <c r="A572" s="22"/>
      <c r="B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x14ac:dyDescent="0.2">
      <c r="A573" s="22"/>
      <c r="B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x14ac:dyDescent="0.2">
      <c r="A574" s="22"/>
      <c r="B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x14ac:dyDescent="0.2">
      <c r="A575" s="22"/>
      <c r="B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x14ac:dyDescent="0.2">
      <c r="A576" s="22"/>
      <c r="B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x14ac:dyDescent="0.2">
      <c r="A577" s="22"/>
      <c r="B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x14ac:dyDescent="0.2">
      <c r="A578" s="22"/>
      <c r="B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x14ac:dyDescent="0.2">
      <c r="A579" s="22"/>
      <c r="B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x14ac:dyDescent="0.2">
      <c r="A580" s="22"/>
      <c r="B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x14ac:dyDescent="0.2">
      <c r="A581" s="22"/>
      <c r="B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x14ac:dyDescent="0.2">
      <c r="A582" s="22"/>
      <c r="B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x14ac:dyDescent="0.2">
      <c r="A583" s="22"/>
      <c r="B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x14ac:dyDescent="0.2">
      <c r="A584" s="22"/>
      <c r="B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x14ac:dyDescent="0.2">
      <c r="A585" s="22"/>
      <c r="B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x14ac:dyDescent="0.2">
      <c r="A586" s="22"/>
      <c r="B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x14ac:dyDescent="0.2">
      <c r="A587" s="22"/>
      <c r="B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x14ac:dyDescent="0.2">
      <c r="A588" s="22"/>
      <c r="B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x14ac:dyDescent="0.2">
      <c r="A589" s="22"/>
      <c r="B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x14ac:dyDescent="0.2">
      <c r="A590" s="22"/>
      <c r="B590" s="22"/>
      <c r="D590" s="22"/>
      <c r="E590" s="22"/>
      <c r="F590" s="22"/>
      <c r="G590" s="22"/>
      <c r="H590" s="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x14ac:dyDescent="0.2">
      <c r="A591" s="22"/>
      <c r="B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x14ac:dyDescent="0.2">
      <c r="A592" s="22"/>
      <c r="B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x14ac:dyDescent="0.2">
      <c r="A593" s="22"/>
      <c r="B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x14ac:dyDescent="0.2">
      <c r="A594" s="22"/>
      <c r="B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x14ac:dyDescent="0.2">
      <c r="A595" s="22"/>
      <c r="B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x14ac:dyDescent="0.2">
      <c r="A596" s="22"/>
      <c r="B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x14ac:dyDescent="0.2">
      <c r="A597" s="22"/>
      <c r="B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x14ac:dyDescent="0.2">
      <c r="A598" s="22"/>
      <c r="B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x14ac:dyDescent="0.2">
      <c r="A599" s="22"/>
      <c r="B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x14ac:dyDescent="0.2">
      <c r="A600" s="22"/>
      <c r="B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x14ac:dyDescent="0.2">
      <c r="A601" s="22"/>
      <c r="B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x14ac:dyDescent="0.2">
      <c r="A602" s="22"/>
      <c r="B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x14ac:dyDescent="0.2">
      <c r="A603" s="22"/>
      <c r="B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x14ac:dyDescent="0.2">
      <c r="A604" s="22"/>
      <c r="B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x14ac:dyDescent="0.2">
      <c r="A605" s="22"/>
      <c r="B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x14ac:dyDescent="0.2">
      <c r="A606" s="22"/>
      <c r="B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x14ac:dyDescent="0.2">
      <c r="A607" s="22"/>
      <c r="B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x14ac:dyDescent="0.2">
      <c r="A608" s="22"/>
      <c r="B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x14ac:dyDescent="0.2">
      <c r="A609" s="22"/>
      <c r="B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x14ac:dyDescent="0.2">
      <c r="A610" s="22"/>
      <c r="B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x14ac:dyDescent="0.2">
      <c r="A611" s="22"/>
      <c r="B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x14ac:dyDescent="0.2">
      <c r="A612" s="22"/>
      <c r="B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x14ac:dyDescent="0.2">
      <c r="A613" s="22"/>
      <c r="B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x14ac:dyDescent="0.2">
      <c r="A614" s="22"/>
      <c r="B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x14ac:dyDescent="0.2">
      <c r="A615" s="22"/>
      <c r="B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x14ac:dyDescent="0.2">
      <c r="A616" s="22"/>
      <c r="B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x14ac:dyDescent="0.2">
      <c r="A617" s="22"/>
      <c r="B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x14ac:dyDescent="0.2">
      <c r="A618" s="22"/>
      <c r="B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x14ac:dyDescent="0.2">
      <c r="A619" s="22"/>
      <c r="B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x14ac:dyDescent="0.2">
      <c r="A620" s="22"/>
      <c r="B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x14ac:dyDescent="0.2">
      <c r="A621" s="22"/>
      <c r="B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x14ac:dyDescent="0.2">
      <c r="A622" s="22"/>
      <c r="B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x14ac:dyDescent="0.2">
      <c r="A623" s="22"/>
      <c r="B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x14ac:dyDescent="0.2">
      <c r="A624" s="22"/>
      <c r="B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x14ac:dyDescent="0.2">
      <c r="A625" s="22"/>
      <c r="B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x14ac:dyDescent="0.2">
      <c r="A626" s="22"/>
      <c r="B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x14ac:dyDescent="0.2">
      <c r="A627" s="22"/>
      <c r="B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x14ac:dyDescent="0.2">
      <c r="A628" s="22"/>
      <c r="B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x14ac:dyDescent="0.2">
      <c r="A629" s="22"/>
      <c r="B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x14ac:dyDescent="0.2">
      <c r="A630" s="22"/>
      <c r="B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x14ac:dyDescent="0.2">
      <c r="A631" s="22"/>
      <c r="B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x14ac:dyDescent="0.2">
      <c r="A632" s="22"/>
      <c r="B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x14ac:dyDescent="0.2">
      <c r="A633" s="22"/>
      <c r="B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x14ac:dyDescent="0.2">
      <c r="A634" s="22"/>
      <c r="B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x14ac:dyDescent="0.2">
      <c r="A635" s="22"/>
      <c r="B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x14ac:dyDescent="0.2">
      <c r="A636" s="22"/>
      <c r="B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x14ac:dyDescent="0.2">
      <c r="A637" s="22"/>
      <c r="B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x14ac:dyDescent="0.2">
      <c r="A638" s="22"/>
      <c r="B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x14ac:dyDescent="0.2">
      <c r="A639" s="22"/>
      <c r="B639" s="22"/>
      <c r="D639" s="22"/>
      <c r="E639" s="22"/>
      <c r="F639" s="22"/>
      <c r="G639" s="22"/>
      <c r="H639" s="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x14ac:dyDescent="0.2">
      <c r="A640" s="22"/>
      <c r="B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x14ac:dyDescent="0.2">
      <c r="A641" s="22"/>
      <c r="B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x14ac:dyDescent="0.2">
      <c r="A642" s="22"/>
      <c r="B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x14ac:dyDescent="0.2">
      <c r="A643" s="22"/>
      <c r="B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x14ac:dyDescent="0.2">
      <c r="A644" s="22"/>
      <c r="B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x14ac:dyDescent="0.2">
      <c r="A645" s="22"/>
      <c r="B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x14ac:dyDescent="0.2">
      <c r="A646" s="22"/>
      <c r="B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x14ac:dyDescent="0.2">
      <c r="A647" s="22"/>
      <c r="B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x14ac:dyDescent="0.2">
      <c r="A648" s="22"/>
      <c r="B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x14ac:dyDescent="0.2">
      <c r="A649" s="22"/>
      <c r="B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x14ac:dyDescent="0.2">
      <c r="A650" s="22"/>
      <c r="B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x14ac:dyDescent="0.2">
      <c r="A651" s="22"/>
      <c r="B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x14ac:dyDescent="0.2">
      <c r="A652" s="22"/>
      <c r="B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x14ac:dyDescent="0.2">
      <c r="A653" s="22"/>
      <c r="B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x14ac:dyDescent="0.2">
      <c r="A654" s="22"/>
      <c r="B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x14ac:dyDescent="0.2">
      <c r="A655" s="22"/>
      <c r="B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x14ac:dyDescent="0.2">
      <c r="A656" s="22"/>
      <c r="B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x14ac:dyDescent="0.2">
      <c r="A657" s="22"/>
      <c r="B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x14ac:dyDescent="0.2">
      <c r="A658" s="22"/>
      <c r="B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x14ac:dyDescent="0.2">
      <c r="A659" s="22"/>
      <c r="B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x14ac:dyDescent="0.2">
      <c r="A660" s="22"/>
      <c r="B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x14ac:dyDescent="0.2">
      <c r="A661" s="22"/>
      <c r="B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x14ac:dyDescent="0.2">
      <c r="A662" s="22"/>
      <c r="B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x14ac:dyDescent="0.2">
      <c r="A663" s="22"/>
      <c r="B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x14ac:dyDescent="0.2">
      <c r="A664" s="22"/>
      <c r="B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x14ac:dyDescent="0.2">
      <c r="A665" s="22"/>
      <c r="B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x14ac:dyDescent="0.2">
      <c r="A666" s="22"/>
      <c r="B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x14ac:dyDescent="0.2">
      <c r="A667" s="22"/>
      <c r="B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x14ac:dyDescent="0.2">
      <c r="A668" s="22"/>
      <c r="B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x14ac:dyDescent="0.2">
      <c r="A669" s="22"/>
      <c r="B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x14ac:dyDescent="0.2">
      <c r="A670" s="22"/>
      <c r="B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x14ac:dyDescent="0.2">
      <c r="A671" s="22"/>
      <c r="B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x14ac:dyDescent="0.2">
      <c r="A672" s="22"/>
      <c r="B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x14ac:dyDescent="0.2">
      <c r="A673" s="22"/>
      <c r="B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x14ac:dyDescent="0.2">
      <c r="A674" s="22"/>
      <c r="B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x14ac:dyDescent="0.2">
      <c r="A675" s="22"/>
      <c r="B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x14ac:dyDescent="0.2">
      <c r="A676" s="22"/>
      <c r="B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x14ac:dyDescent="0.2">
      <c r="A677" s="22"/>
      <c r="B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x14ac:dyDescent="0.2">
      <c r="A678" s="22"/>
      <c r="B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x14ac:dyDescent="0.2">
      <c r="A679" s="22"/>
      <c r="B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x14ac:dyDescent="0.2">
      <c r="A680" s="22"/>
      <c r="B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x14ac:dyDescent="0.2">
      <c r="A681" s="22"/>
      <c r="B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x14ac:dyDescent="0.2">
      <c r="A682" s="22"/>
      <c r="B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x14ac:dyDescent="0.2">
      <c r="A683" s="22"/>
      <c r="B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x14ac:dyDescent="0.2">
      <c r="A684" s="22"/>
      <c r="B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x14ac:dyDescent="0.2">
      <c r="A685" s="22"/>
      <c r="B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x14ac:dyDescent="0.2">
      <c r="A686" s="22"/>
      <c r="B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x14ac:dyDescent="0.2">
      <c r="A687" s="22"/>
      <c r="B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x14ac:dyDescent="0.2">
      <c r="A688" s="22"/>
      <c r="B688" s="22"/>
      <c r="D688" s="22"/>
      <c r="E688" s="22"/>
      <c r="F688" s="22"/>
      <c r="G688" s="22"/>
      <c r="H688" s="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x14ac:dyDescent="0.2">
      <c r="A689" s="22"/>
      <c r="B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x14ac:dyDescent="0.2">
      <c r="A690" s="22"/>
      <c r="B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x14ac:dyDescent="0.2">
      <c r="A691" s="22"/>
      <c r="B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x14ac:dyDescent="0.2">
      <c r="A692" s="22"/>
      <c r="B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x14ac:dyDescent="0.2">
      <c r="A693" s="22"/>
      <c r="B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x14ac:dyDescent="0.2">
      <c r="A694" s="22"/>
      <c r="B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x14ac:dyDescent="0.2">
      <c r="A695" s="22"/>
      <c r="B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x14ac:dyDescent="0.2">
      <c r="A696" s="22"/>
      <c r="B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x14ac:dyDescent="0.2">
      <c r="A697" s="22"/>
      <c r="B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x14ac:dyDescent="0.2">
      <c r="A698" s="22"/>
      <c r="B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x14ac:dyDescent="0.2">
      <c r="A699" s="22"/>
      <c r="B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x14ac:dyDescent="0.2">
      <c r="A700" s="22"/>
      <c r="B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x14ac:dyDescent="0.2">
      <c r="A701" s="22"/>
      <c r="B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x14ac:dyDescent="0.2">
      <c r="A702" s="22"/>
      <c r="B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x14ac:dyDescent="0.2">
      <c r="A703" s="22"/>
      <c r="B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x14ac:dyDescent="0.2">
      <c r="A704" s="22"/>
      <c r="B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x14ac:dyDescent="0.2">
      <c r="A705" s="22"/>
      <c r="B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x14ac:dyDescent="0.2">
      <c r="A706" s="22"/>
      <c r="B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x14ac:dyDescent="0.2">
      <c r="A707" s="22"/>
      <c r="B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x14ac:dyDescent="0.2">
      <c r="A708" s="22"/>
      <c r="B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x14ac:dyDescent="0.2">
      <c r="A709" s="22"/>
      <c r="B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x14ac:dyDescent="0.2">
      <c r="A710" s="22"/>
      <c r="B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x14ac:dyDescent="0.2">
      <c r="A711" s="22"/>
      <c r="B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x14ac:dyDescent="0.2">
      <c r="A712" s="22"/>
      <c r="B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x14ac:dyDescent="0.2">
      <c r="A713" s="22"/>
      <c r="B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x14ac:dyDescent="0.2">
      <c r="A714" s="22"/>
      <c r="B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x14ac:dyDescent="0.2">
      <c r="A715" s="22"/>
      <c r="B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x14ac:dyDescent="0.2">
      <c r="A716" s="22"/>
      <c r="B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x14ac:dyDescent="0.2">
      <c r="A717" s="22"/>
      <c r="B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x14ac:dyDescent="0.2">
      <c r="A718" s="22"/>
      <c r="B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x14ac:dyDescent="0.2">
      <c r="A719" s="22"/>
      <c r="B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x14ac:dyDescent="0.2">
      <c r="A720" s="22"/>
      <c r="B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x14ac:dyDescent="0.2">
      <c r="A721" s="22"/>
      <c r="B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x14ac:dyDescent="0.2">
      <c r="A722" s="22"/>
      <c r="B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x14ac:dyDescent="0.2">
      <c r="A723" s="22"/>
      <c r="B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x14ac:dyDescent="0.2">
      <c r="A724" s="22"/>
      <c r="B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x14ac:dyDescent="0.2">
      <c r="A725" s="22"/>
      <c r="B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x14ac:dyDescent="0.2">
      <c r="A726" s="22"/>
      <c r="B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x14ac:dyDescent="0.2">
      <c r="A727" s="22"/>
      <c r="B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x14ac:dyDescent="0.2">
      <c r="A728" s="22"/>
      <c r="B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x14ac:dyDescent="0.2">
      <c r="A729" s="22"/>
      <c r="B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x14ac:dyDescent="0.2">
      <c r="A730" s="22"/>
      <c r="B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x14ac:dyDescent="0.2">
      <c r="A731" s="22"/>
      <c r="B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x14ac:dyDescent="0.2">
      <c r="A732" s="22"/>
      <c r="B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x14ac:dyDescent="0.2">
      <c r="A733" s="22"/>
      <c r="B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x14ac:dyDescent="0.2">
      <c r="A734" s="22"/>
      <c r="B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x14ac:dyDescent="0.2">
      <c r="A735" s="22"/>
      <c r="B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x14ac:dyDescent="0.2">
      <c r="A736" s="22"/>
      <c r="B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x14ac:dyDescent="0.2">
      <c r="A737" s="22"/>
      <c r="B737" s="22"/>
      <c r="D737" s="22"/>
      <c r="E737" s="22"/>
      <c r="F737" s="22"/>
      <c r="G737" s="22"/>
      <c r="H737" s="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x14ac:dyDescent="0.2">
      <c r="A738" s="22"/>
      <c r="B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x14ac:dyDescent="0.2">
      <c r="A739" s="22"/>
      <c r="B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x14ac:dyDescent="0.2">
      <c r="A740" s="22"/>
      <c r="B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x14ac:dyDescent="0.2">
      <c r="A741" s="22"/>
      <c r="B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x14ac:dyDescent="0.2">
      <c r="A742" s="22"/>
      <c r="B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x14ac:dyDescent="0.2">
      <c r="A743" s="22"/>
      <c r="B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x14ac:dyDescent="0.2">
      <c r="A744" s="22"/>
      <c r="B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x14ac:dyDescent="0.2">
      <c r="A745" s="22"/>
      <c r="B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x14ac:dyDescent="0.2">
      <c r="A746" s="22"/>
      <c r="B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x14ac:dyDescent="0.2">
      <c r="A747" s="22"/>
      <c r="B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x14ac:dyDescent="0.2">
      <c r="A748" s="22"/>
      <c r="B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x14ac:dyDescent="0.2">
      <c r="A749" s="22"/>
      <c r="B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x14ac:dyDescent="0.2">
      <c r="A750" s="22"/>
      <c r="B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x14ac:dyDescent="0.2">
      <c r="A751" s="22"/>
      <c r="B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x14ac:dyDescent="0.2">
      <c r="A752" s="22"/>
      <c r="B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x14ac:dyDescent="0.2">
      <c r="A753" s="22"/>
      <c r="B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x14ac:dyDescent="0.2">
      <c r="A754" s="22"/>
      <c r="B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x14ac:dyDescent="0.2">
      <c r="A755" s="22"/>
      <c r="B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x14ac:dyDescent="0.2">
      <c r="A756" s="22"/>
      <c r="B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x14ac:dyDescent="0.2">
      <c r="A757" s="22"/>
      <c r="B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x14ac:dyDescent="0.2">
      <c r="A758" s="22"/>
      <c r="B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x14ac:dyDescent="0.2">
      <c r="A759" s="22"/>
      <c r="B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x14ac:dyDescent="0.2">
      <c r="A760" s="22"/>
      <c r="B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x14ac:dyDescent="0.2">
      <c r="A761" s="22"/>
      <c r="B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x14ac:dyDescent="0.2">
      <c r="A762" s="22"/>
      <c r="B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x14ac:dyDescent="0.2">
      <c r="A763" s="22"/>
      <c r="B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x14ac:dyDescent="0.2">
      <c r="A764" s="22"/>
      <c r="B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x14ac:dyDescent="0.2">
      <c r="A765" s="22"/>
      <c r="B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x14ac:dyDescent="0.2">
      <c r="A766" s="22"/>
      <c r="B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x14ac:dyDescent="0.2">
      <c r="A767" s="22"/>
      <c r="B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x14ac:dyDescent="0.2">
      <c r="A768" s="22"/>
      <c r="B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x14ac:dyDescent="0.2">
      <c r="A769" s="22"/>
      <c r="B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x14ac:dyDescent="0.2">
      <c r="A770" s="22"/>
      <c r="B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x14ac:dyDescent="0.2">
      <c r="A771" s="22"/>
      <c r="B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x14ac:dyDescent="0.2">
      <c r="A772" s="22"/>
      <c r="B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x14ac:dyDescent="0.2">
      <c r="A773" s="22"/>
      <c r="B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x14ac:dyDescent="0.2">
      <c r="A774" s="22"/>
      <c r="B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x14ac:dyDescent="0.2">
      <c r="A775" s="22"/>
      <c r="B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x14ac:dyDescent="0.2">
      <c r="A776" s="22"/>
      <c r="B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x14ac:dyDescent="0.2">
      <c r="A777" s="22"/>
      <c r="B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x14ac:dyDescent="0.2">
      <c r="A778" s="22"/>
      <c r="B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x14ac:dyDescent="0.2">
      <c r="A779" s="22"/>
      <c r="B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x14ac:dyDescent="0.2">
      <c r="A780" s="22"/>
      <c r="B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x14ac:dyDescent="0.2">
      <c r="A781" s="22"/>
      <c r="B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x14ac:dyDescent="0.2">
      <c r="A782" s="22"/>
      <c r="B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x14ac:dyDescent="0.2">
      <c r="A783" s="22"/>
      <c r="B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x14ac:dyDescent="0.2">
      <c r="A784" s="22"/>
      <c r="B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x14ac:dyDescent="0.2">
      <c r="A785" s="22"/>
      <c r="B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x14ac:dyDescent="0.2">
      <c r="A786" s="22"/>
      <c r="B786" s="22"/>
      <c r="D786" s="22"/>
      <c r="E786" s="22"/>
      <c r="F786" s="22"/>
      <c r="G786" s="22"/>
      <c r="H786" s="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x14ac:dyDescent="0.2">
      <c r="A787" s="22"/>
      <c r="B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x14ac:dyDescent="0.2">
      <c r="A788" s="22"/>
      <c r="B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x14ac:dyDescent="0.2">
      <c r="A789" s="22"/>
      <c r="B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x14ac:dyDescent="0.2">
      <c r="A790" s="22"/>
      <c r="B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x14ac:dyDescent="0.2">
      <c r="A791" s="22"/>
      <c r="B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x14ac:dyDescent="0.2">
      <c r="A792" s="22"/>
      <c r="B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x14ac:dyDescent="0.2">
      <c r="A793" s="22"/>
      <c r="B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x14ac:dyDescent="0.2">
      <c r="A794" s="22"/>
      <c r="B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x14ac:dyDescent="0.2">
      <c r="A795" s="22"/>
      <c r="B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x14ac:dyDescent="0.2">
      <c r="A796" s="22"/>
      <c r="B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x14ac:dyDescent="0.2">
      <c r="A797" s="22"/>
      <c r="B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x14ac:dyDescent="0.2">
      <c r="A798" s="22"/>
      <c r="B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x14ac:dyDescent="0.2">
      <c r="A799" s="22"/>
      <c r="B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x14ac:dyDescent="0.2">
      <c r="A800" s="22"/>
      <c r="B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x14ac:dyDescent="0.2">
      <c r="A801" s="22"/>
      <c r="B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x14ac:dyDescent="0.2">
      <c r="A802" s="22"/>
      <c r="B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x14ac:dyDescent="0.2">
      <c r="A803" s="22"/>
      <c r="B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x14ac:dyDescent="0.2">
      <c r="A804" s="22"/>
      <c r="B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x14ac:dyDescent="0.2">
      <c r="A805" s="22"/>
      <c r="B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x14ac:dyDescent="0.2">
      <c r="A806" s="22"/>
      <c r="B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x14ac:dyDescent="0.2">
      <c r="A807" s="22"/>
      <c r="B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x14ac:dyDescent="0.2">
      <c r="A808" s="22"/>
      <c r="B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x14ac:dyDescent="0.2">
      <c r="A809" s="22"/>
      <c r="B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x14ac:dyDescent="0.2">
      <c r="A810" s="22"/>
      <c r="B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x14ac:dyDescent="0.2">
      <c r="A811" s="22"/>
      <c r="B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x14ac:dyDescent="0.2">
      <c r="A812" s="22"/>
      <c r="B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x14ac:dyDescent="0.2">
      <c r="A813" s="22"/>
      <c r="B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x14ac:dyDescent="0.2">
      <c r="A814" s="22"/>
      <c r="B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x14ac:dyDescent="0.2">
      <c r="A815" s="22"/>
      <c r="B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x14ac:dyDescent="0.2">
      <c r="A816" s="22"/>
      <c r="B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x14ac:dyDescent="0.2">
      <c r="A817" s="22"/>
      <c r="B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x14ac:dyDescent="0.2">
      <c r="A818" s="22"/>
      <c r="B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x14ac:dyDescent="0.2">
      <c r="A819" s="22"/>
      <c r="B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x14ac:dyDescent="0.2">
      <c r="A820" s="22"/>
      <c r="B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x14ac:dyDescent="0.2">
      <c r="A821" s="22"/>
      <c r="B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x14ac:dyDescent="0.2">
      <c r="A822" s="22"/>
      <c r="B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x14ac:dyDescent="0.2">
      <c r="A823" s="22"/>
      <c r="B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x14ac:dyDescent="0.2">
      <c r="A824" s="22"/>
      <c r="B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x14ac:dyDescent="0.2">
      <c r="A825" s="22"/>
      <c r="B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x14ac:dyDescent="0.2">
      <c r="A826" s="22"/>
      <c r="B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x14ac:dyDescent="0.2">
      <c r="A827" s="22"/>
      <c r="B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x14ac:dyDescent="0.2">
      <c r="A828" s="22"/>
      <c r="B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x14ac:dyDescent="0.2">
      <c r="A829" s="22"/>
      <c r="B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x14ac:dyDescent="0.2">
      <c r="A830" s="22"/>
      <c r="B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x14ac:dyDescent="0.2">
      <c r="A831" s="22"/>
      <c r="B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x14ac:dyDescent="0.2">
      <c r="A832" s="22"/>
      <c r="B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x14ac:dyDescent="0.2">
      <c r="A833" s="22"/>
      <c r="B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x14ac:dyDescent="0.2">
      <c r="A834" s="22"/>
      <c r="B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x14ac:dyDescent="0.2">
      <c r="A835" s="22"/>
      <c r="B835" s="22"/>
      <c r="D835" s="22"/>
      <c r="E835" s="22"/>
      <c r="F835" s="22"/>
      <c r="G835" s="22"/>
      <c r="H835" s="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x14ac:dyDescent="0.2">
      <c r="A836" s="22"/>
      <c r="B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x14ac:dyDescent="0.2">
      <c r="A837" s="22"/>
      <c r="B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x14ac:dyDescent="0.2">
      <c r="A838" s="22"/>
      <c r="B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x14ac:dyDescent="0.2">
      <c r="A839" s="22"/>
      <c r="B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x14ac:dyDescent="0.2">
      <c r="A840" s="22"/>
      <c r="B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x14ac:dyDescent="0.2">
      <c r="A841" s="22"/>
      <c r="B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x14ac:dyDescent="0.2">
      <c r="A842" s="22"/>
      <c r="B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x14ac:dyDescent="0.2">
      <c r="A843" s="22"/>
      <c r="B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x14ac:dyDescent="0.2">
      <c r="A844" s="22"/>
      <c r="B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x14ac:dyDescent="0.2">
      <c r="A845" s="22"/>
      <c r="B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x14ac:dyDescent="0.2">
      <c r="A846" s="22"/>
      <c r="B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x14ac:dyDescent="0.2">
      <c r="A847" s="22"/>
      <c r="B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x14ac:dyDescent="0.2">
      <c r="A848" s="22"/>
      <c r="B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x14ac:dyDescent="0.2">
      <c r="A849" s="22"/>
      <c r="B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x14ac:dyDescent="0.2">
      <c r="A850" s="22"/>
      <c r="B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x14ac:dyDescent="0.2">
      <c r="A851" s="22"/>
      <c r="B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x14ac:dyDescent="0.2">
      <c r="A852" s="22"/>
      <c r="B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x14ac:dyDescent="0.2">
      <c r="A853" s="22"/>
      <c r="B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x14ac:dyDescent="0.2">
      <c r="A854" s="22"/>
      <c r="B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x14ac:dyDescent="0.2">
      <c r="A855" s="22"/>
      <c r="B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x14ac:dyDescent="0.2">
      <c r="A856" s="22"/>
      <c r="B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x14ac:dyDescent="0.2">
      <c r="A857" s="22"/>
      <c r="B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x14ac:dyDescent="0.2">
      <c r="A858" s="22"/>
      <c r="B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x14ac:dyDescent="0.2">
      <c r="A859" s="22"/>
      <c r="B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x14ac:dyDescent="0.2">
      <c r="A860" s="22"/>
      <c r="B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x14ac:dyDescent="0.2">
      <c r="A861" s="22"/>
      <c r="B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x14ac:dyDescent="0.2">
      <c r="A862" s="22"/>
      <c r="B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x14ac:dyDescent="0.2">
      <c r="A863" s="22"/>
      <c r="B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x14ac:dyDescent="0.2">
      <c r="A864" s="22"/>
      <c r="B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x14ac:dyDescent="0.2">
      <c r="A865" s="22"/>
      <c r="B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x14ac:dyDescent="0.2">
      <c r="A866" s="22"/>
      <c r="B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x14ac:dyDescent="0.2">
      <c r="A867" s="22"/>
      <c r="B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x14ac:dyDescent="0.2">
      <c r="A868" s="22"/>
      <c r="B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x14ac:dyDescent="0.2">
      <c r="A869" s="22"/>
      <c r="B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x14ac:dyDescent="0.2">
      <c r="A870" s="22"/>
      <c r="B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x14ac:dyDescent="0.2">
      <c r="A871" s="22"/>
      <c r="B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x14ac:dyDescent="0.2">
      <c r="A872" s="22"/>
      <c r="B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x14ac:dyDescent="0.2">
      <c r="A873" s="22"/>
      <c r="B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x14ac:dyDescent="0.2">
      <c r="A874" s="22"/>
      <c r="B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x14ac:dyDescent="0.2">
      <c r="A875" s="22"/>
      <c r="B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x14ac:dyDescent="0.2">
      <c r="A876" s="22"/>
      <c r="B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x14ac:dyDescent="0.2">
      <c r="A877" s="22"/>
      <c r="B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x14ac:dyDescent="0.2">
      <c r="A878" s="22"/>
      <c r="B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x14ac:dyDescent="0.2">
      <c r="A879" s="22"/>
      <c r="B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x14ac:dyDescent="0.2">
      <c r="A880" s="22"/>
      <c r="B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x14ac:dyDescent="0.2">
      <c r="A881" s="22"/>
      <c r="B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x14ac:dyDescent="0.2">
      <c r="A882" s="22"/>
      <c r="B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x14ac:dyDescent="0.2">
      <c r="A883" s="22"/>
      <c r="B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x14ac:dyDescent="0.2">
      <c r="A884" s="22"/>
      <c r="B884" s="22"/>
      <c r="D884" s="22"/>
      <c r="E884" s="22"/>
      <c r="F884" s="22"/>
      <c r="G884" s="22"/>
      <c r="H884" s="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x14ac:dyDescent="0.2">
      <c r="A885" s="22"/>
      <c r="B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x14ac:dyDescent="0.2">
      <c r="A886" s="22"/>
      <c r="B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x14ac:dyDescent="0.2">
      <c r="A887" s="22"/>
      <c r="B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x14ac:dyDescent="0.2">
      <c r="A888" s="22"/>
      <c r="B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x14ac:dyDescent="0.2">
      <c r="A889" s="22"/>
      <c r="B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x14ac:dyDescent="0.2">
      <c r="A890" s="22"/>
      <c r="B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x14ac:dyDescent="0.2">
      <c r="A891" s="22"/>
      <c r="B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x14ac:dyDescent="0.2">
      <c r="A892" s="22"/>
      <c r="B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x14ac:dyDescent="0.2">
      <c r="A893" s="22"/>
      <c r="B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x14ac:dyDescent="0.2">
      <c r="A894" s="22"/>
      <c r="B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x14ac:dyDescent="0.2">
      <c r="A895" s="22"/>
      <c r="B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x14ac:dyDescent="0.2">
      <c r="A896" s="22"/>
      <c r="B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x14ac:dyDescent="0.2">
      <c r="A897" s="22"/>
      <c r="B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x14ac:dyDescent="0.2">
      <c r="A898" s="22"/>
      <c r="B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x14ac:dyDescent="0.2">
      <c r="A899" s="22"/>
      <c r="B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x14ac:dyDescent="0.2">
      <c r="A900" s="22"/>
      <c r="B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x14ac:dyDescent="0.2">
      <c r="A901" s="22"/>
      <c r="B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x14ac:dyDescent="0.2">
      <c r="A902" s="22"/>
      <c r="B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x14ac:dyDescent="0.2">
      <c r="A903" s="22"/>
      <c r="B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x14ac:dyDescent="0.2">
      <c r="A904" s="22"/>
      <c r="B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x14ac:dyDescent="0.2">
      <c r="A905" s="22"/>
      <c r="B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x14ac:dyDescent="0.2">
      <c r="A906" s="22"/>
      <c r="B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x14ac:dyDescent="0.2">
      <c r="A907" s="22"/>
      <c r="B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x14ac:dyDescent="0.2">
      <c r="A908" s="22"/>
      <c r="B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x14ac:dyDescent="0.2">
      <c r="A909" s="22"/>
      <c r="B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x14ac:dyDescent="0.2">
      <c r="A910" s="22"/>
      <c r="B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x14ac:dyDescent="0.2">
      <c r="A911" s="22"/>
      <c r="B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x14ac:dyDescent="0.2">
      <c r="A912" s="22"/>
      <c r="B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x14ac:dyDescent="0.2">
      <c r="A913" s="22"/>
      <c r="B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x14ac:dyDescent="0.2">
      <c r="A914" s="22"/>
      <c r="B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x14ac:dyDescent="0.2">
      <c r="A915" s="22"/>
      <c r="B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x14ac:dyDescent="0.2">
      <c r="A916" s="22"/>
      <c r="B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x14ac:dyDescent="0.2">
      <c r="A917" s="22"/>
      <c r="B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x14ac:dyDescent="0.2">
      <c r="A918" s="22"/>
      <c r="B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x14ac:dyDescent="0.2">
      <c r="A919" s="22"/>
      <c r="B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x14ac:dyDescent="0.2">
      <c r="A920" s="22"/>
      <c r="B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x14ac:dyDescent="0.2">
      <c r="A921" s="22"/>
      <c r="B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x14ac:dyDescent="0.2">
      <c r="A922" s="22"/>
      <c r="B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x14ac:dyDescent="0.2">
      <c r="A923" s="22"/>
      <c r="B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x14ac:dyDescent="0.2">
      <c r="A924" s="22"/>
      <c r="B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x14ac:dyDescent="0.2">
      <c r="A925" s="22"/>
      <c r="B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x14ac:dyDescent="0.2">
      <c r="A926" s="22"/>
      <c r="B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x14ac:dyDescent="0.2">
      <c r="A927" s="22"/>
      <c r="B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x14ac:dyDescent="0.2">
      <c r="A928" s="22"/>
      <c r="B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x14ac:dyDescent="0.2">
      <c r="A929" s="22"/>
      <c r="B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x14ac:dyDescent="0.2">
      <c r="A930" s="22"/>
      <c r="B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x14ac:dyDescent="0.2">
      <c r="A931" s="22"/>
      <c r="B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x14ac:dyDescent="0.2">
      <c r="A932" s="22"/>
      <c r="B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x14ac:dyDescent="0.2">
      <c r="A933" s="22"/>
      <c r="B933" s="22"/>
      <c r="D933" s="22"/>
      <c r="E933" s="22"/>
      <c r="F933" s="22"/>
      <c r="G933" s="22"/>
      <c r="H933" s="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x14ac:dyDescent="0.2">
      <c r="A934" s="22"/>
      <c r="B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x14ac:dyDescent="0.2">
      <c r="A935" s="22"/>
      <c r="B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x14ac:dyDescent="0.2">
      <c r="A936" s="22"/>
      <c r="B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x14ac:dyDescent="0.2">
      <c r="A937" s="22"/>
      <c r="B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x14ac:dyDescent="0.2">
      <c r="A938" s="22"/>
      <c r="B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x14ac:dyDescent="0.2">
      <c r="A939" s="22"/>
      <c r="B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x14ac:dyDescent="0.2">
      <c r="A940" s="22"/>
      <c r="B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x14ac:dyDescent="0.2">
      <c r="A941" s="22"/>
      <c r="B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x14ac:dyDescent="0.2">
      <c r="A942" s="22"/>
      <c r="B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x14ac:dyDescent="0.2">
      <c r="A943" s="22"/>
      <c r="B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x14ac:dyDescent="0.2">
      <c r="A944" s="22"/>
      <c r="B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x14ac:dyDescent="0.2">
      <c r="A945" s="22"/>
      <c r="B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x14ac:dyDescent="0.2">
      <c r="A946" s="22"/>
      <c r="B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x14ac:dyDescent="0.2">
      <c r="A947" s="22"/>
      <c r="B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x14ac:dyDescent="0.2">
      <c r="A948" s="22"/>
      <c r="B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x14ac:dyDescent="0.2">
      <c r="A949" s="22"/>
      <c r="B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x14ac:dyDescent="0.2">
      <c r="A950" s="22"/>
      <c r="B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x14ac:dyDescent="0.2">
      <c r="A951" s="22"/>
      <c r="B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x14ac:dyDescent="0.2">
      <c r="A952" s="22"/>
      <c r="B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x14ac:dyDescent="0.2">
      <c r="A953" s="22"/>
      <c r="B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x14ac:dyDescent="0.2">
      <c r="A954" s="22"/>
      <c r="B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x14ac:dyDescent="0.2">
      <c r="A955" s="22"/>
      <c r="B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x14ac:dyDescent="0.2">
      <c r="A956" s="22"/>
      <c r="B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x14ac:dyDescent="0.2">
      <c r="A957" s="22"/>
      <c r="B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x14ac:dyDescent="0.2">
      <c r="A958" s="22"/>
      <c r="B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x14ac:dyDescent="0.2">
      <c r="A959" s="22"/>
      <c r="B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x14ac:dyDescent="0.2">
      <c r="A960" s="22"/>
      <c r="B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x14ac:dyDescent="0.2">
      <c r="A961" s="22"/>
      <c r="B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x14ac:dyDescent="0.2">
      <c r="A962" s="22"/>
      <c r="B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x14ac:dyDescent="0.2">
      <c r="A963" s="22"/>
      <c r="B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x14ac:dyDescent="0.2">
      <c r="A964" s="22"/>
      <c r="B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x14ac:dyDescent="0.2">
      <c r="A965" s="22"/>
      <c r="B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x14ac:dyDescent="0.2">
      <c r="A966" s="22"/>
      <c r="B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x14ac:dyDescent="0.2">
      <c r="A967" s="22"/>
      <c r="B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x14ac:dyDescent="0.2">
      <c r="A968" s="22"/>
      <c r="B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x14ac:dyDescent="0.2">
      <c r="A969" s="22"/>
      <c r="B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x14ac:dyDescent="0.2">
      <c r="A970" s="22"/>
      <c r="B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x14ac:dyDescent="0.2">
      <c r="A971" s="22"/>
      <c r="B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x14ac:dyDescent="0.2">
      <c r="A972" s="22"/>
      <c r="B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x14ac:dyDescent="0.2">
      <c r="A973" s="22"/>
      <c r="B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x14ac:dyDescent="0.2">
      <c r="A974" s="22"/>
      <c r="B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x14ac:dyDescent="0.2">
      <c r="A975" s="22"/>
      <c r="B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x14ac:dyDescent="0.2">
      <c r="A976" s="22"/>
      <c r="B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x14ac:dyDescent="0.2">
      <c r="A977" s="22"/>
      <c r="B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x14ac:dyDescent="0.2">
      <c r="A978" s="22"/>
      <c r="B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x14ac:dyDescent="0.2">
      <c r="A979" s="22"/>
      <c r="B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x14ac:dyDescent="0.2">
      <c r="A980" s="22"/>
      <c r="B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x14ac:dyDescent="0.2">
      <c r="A981" s="22"/>
      <c r="B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x14ac:dyDescent="0.2">
      <c r="A982" s="22"/>
      <c r="B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x14ac:dyDescent="0.2">
      <c r="A983" s="22"/>
      <c r="B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x14ac:dyDescent="0.2">
      <c r="A984" s="22"/>
      <c r="B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x14ac:dyDescent="0.2">
      <c r="A985" s="22"/>
      <c r="B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x14ac:dyDescent="0.2">
      <c r="A986" s="22"/>
      <c r="B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x14ac:dyDescent="0.2">
      <c r="A987" s="22"/>
      <c r="B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x14ac:dyDescent="0.2">
      <c r="A988" s="22"/>
      <c r="B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x14ac:dyDescent="0.2">
      <c r="A989" s="22"/>
      <c r="B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x14ac:dyDescent="0.2">
      <c r="A990" s="22"/>
      <c r="B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x14ac:dyDescent="0.2">
      <c r="A991" s="22"/>
      <c r="B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x14ac:dyDescent="0.2">
      <c r="A992" s="22"/>
      <c r="B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x14ac:dyDescent="0.2">
      <c r="A993" s="22"/>
      <c r="B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x14ac:dyDescent="0.2">
      <c r="A994" s="22"/>
      <c r="B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x14ac:dyDescent="0.2">
      <c r="A995" s="22"/>
      <c r="B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x14ac:dyDescent="0.2">
      <c r="A996" s="22"/>
      <c r="B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x14ac:dyDescent="0.2">
      <c r="A997" s="22"/>
      <c r="B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x14ac:dyDescent="0.2">
      <c r="A998" s="22"/>
      <c r="B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x14ac:dyDescent="0.2">
      <c r="A999" s="22"/>
      <c r="B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x14ac:dyDescent="0.2">
      <c r="A1000" s="22"/>
      <c r="B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x14ac:dyDescent="0.2">
      <c r="A1001" s="22"/>
      <c r="B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sheetData>
    <row r="1" spans="1:30" x14ac:dyDescent="0.2">
      <c r="A1" s="2" t="s">
        <v>393</v>
      </c>
      <c r="B1" s="2" t="s">
        <v>643</v>
      </c>
      <c r="C1" s="2" t="s">
        <v>644</v>
      </c>
      <c r="D1" s="2" t="s">
        <v>645</v>
      </c>
      <c r="E1" s="2" t="s">
        <v>646</v>
      </c>
      <c r="F1" s="2" t="s">
        <v>397</v>
      </c>
      <c r="G1" s="2" t="s">
        <v>2</v>
      </c>
      <c r="H1" s="2" t="s">
        <v>647</v>
      </c>
      <c r="I1" s="22"/>
      <c r="J1" s="2"/>
      <c r="K1" s="2"/>
      <c r="L1" s="27"/>
      <c r="M1" s="2"/>
      <c r="N1" s="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">
      <c r="A2" s="22" t="s">
        <v>648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7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">
      <c r="A3" s="11" t="s">
        <v>38</v>
      </c>
      <c r="B3" s="22" t="str">
        <f t="shared" ref="B3:B50" si="0">IF(D3="same",CONCATENATE(PROPER(G3)," ","2.jpg"),IF(D3="different",CONCATENATE(PROPER(G3)," ","1.jpg")))</f>
        <v>Boy 2.jpg</v>
      </c>
      <c r="C3" s="22" t="str">
        <f>masterlist!J2</f>
        <v>27.mp4</v>
      </c>
      <c r="D3" s="22" t="s">
        <v>649</v>
      </c>
      <c r="E3" s="22" t="s">
        <v>649</v>
      </c>
      <c r="F3" s="22" t="s">
        <v>650</v>
      </c>
      <c r="G3" s="22" t="str">
        <f>masterlist!C2</f>
        <v>boy</v>
      </c>
      <c r="H3" s="22">
        <v>1</v>
      </c>
      <c r="I3" s="22"/>
      <c r="J3" s="22"/>
      <c r="K3" s="22"/>
      <c r="L3" s="7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">
      <c r="A4" s="11" t="s">
        <v>38</v>
      </c>
      <c r="B4" s="22" t="str">
        <f t="shared" si="0"/>
        <v>Children 2.jpg</v>
      </c>
      <c r="C4" s="22" t="str">
        <f>masterlist!J3</f>
        <v>28.mp4</v>
      </c>
      <c r="D4" s="22" t="s">
        <v>649</v>
      </c>
      <c r="E4" s="22" t="s">
        <v>649</v>
      </c>
      <c r="F4" s="22" t="s">
        <v>650</v>
      </c>
      <c r="G4" s="22" t="str">
        <f>masterlist!C3</f>
        <v>children</v>
      </c>
      <c r="H4" s="22">
        <v>2</v>
      </c>
      <c r="I4" s="22"/>
      <c r="J4" s="22"/>
      <c r="K4" s="22"/>
      <c r="L4" s="7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">
      <c r="A5" s="11" t="s">
        <v>38</v>
      </c>
      <c r="B5" s="22" t="str">
        <f t="shared" si="0"/>
        <v>Eagle 2.jpg</v>
      </c>
      <c r="C5" s="22" t="str">
        <f>masterlist!J4</f>
        <v>31.mp4</v>
      </c>
      <c r="D5" s="22" t="s">
        <v>649</v>
      </c>
      <c r="E5" s="22" t="s">
        <v>649</v>
      </c>
      <c r="F5" s="22" t="s">
        <v>650</v>
      </c>
      <c r="G5" s="22" t="str">
        <f>masterlist!C4</f>
        <v>eagle</v>
      </c>
      <c r="H5" s="22">
        <v>3</v>
      </c>
      <c r="I5" s="22"/>
      <c r="J5" s="22"/>
      <c r="K5" s="22"/>
      <c r="L5" s="7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">
      <c r="A6" s="11" t="s">
        <v>38</v>
      </c>
      <c r="B6" s="22" t="str">
        <f t="shared" si="0"/>
        <v>Family 2.jpg</v>
      </c>
      <c r="C6" s="22" t="str">
        <f>masterlist!J5</f>
        <v>32.mp4</v>
      </c>
      <c r="D6" s="22" t="s">
        <v>649</v>
      </c>
      <c r="E6" s="22" t="s">
        <v>649</v>
      </c>
      <c r="F6" s="22" t="s">
        <v>650</v>
      </c>
      <c r="G6" s="22" t="str">
        <f>masterlist!C5</f>
        <v>family</v>
      </c>
      <c r="H6" s="22">
        <v>4</v>
      </c>
      <c r="I6" s="22"/>
      <c r="J6" s="22"/>
      <c r="K6" s="22"/>
      <c r="L6" s="7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">
      <c r="A7" s="11" t="s">
        <v>38</v>
      </c>
      <c r="B7" s="22" t="str">
        <f t="shared" si="0"/>
        <v>Breathe 2.jpg</v>
      </c>
      <c r="C7" s="22" t="str">
        <f>masterlist!J6</f>
        <v>37.mp4</v>
      </c>
      <c r="D7" s="22" t="s">
        <v>649</v>
      </c>
      <c r="E7" s="22" t="s">
        <v>649</v>
      </c>
      <c r="F7" s="22" t="s">
        <v>650</v>
      </c>
      <c r="G7" s="22" t="str">
        <f>masterlist!C6</f>
        <v>breathe</v>
      </c>
      <c r="H7" s="22">
        <v>5</v>
      </c>
      <c r="I7" s="22"/>
      <c r="J7" s="22"/>
      <c r="K7" s="22"/>
      <c r="L7" s="7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">
      <c r="A8" s="11" t="s">
        <v>38</v>
      </c>
      <c r="B8" s="22" t="str">
        <f t="shared" si="0"/>
        <v>Cry 2.jpg</v>
      </c>
      <c r="C8" s="22" t="str">
        <f>masterlist!J7</f>
        <v>38.mp4</v>
      </c>
      <c r="D8" s="22" t="s">
        <v>649</v>
      </c>
      <c r="E8" s="22" t="s">
        <v>649</v>
      </c>
      <c r="F8" s="22" t="s">
        <v>650</v>
      </c>
      <c r="G8" s="22" t="str">
        <f>masterlist!C7</f>
        <v>cry</v>
      </c>
      <c r="H8" s="22">
        <v>6</v>
      </c>
      <c r="I8" s="22"/>
      <c r="J8" s="22"/>
      <c r="K8" s="22"/>
      <c r="L8" s="7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">
      <c r="A9" s="11" t="s">
        <v>38</v>
      </c>
      <c r="B9" s="22" t="str">
        <f t="shared" si="0"/>
        <v>Run 1.jpg</v>
      </c>
      <c r="C9" s="22" t="str">
        <f>masterlist!J8</f>
        <v>43.mp4</v>
      </c>
      <c r="D9" s="22" t="s">
        <v>232</v>
      </c>
      <c r="E9" s="22" t="s">
        <v>649</v>
      </c>
      <c r="F9" s="22" t="s">
        <v>650</v>
      </c>
      <c r="G9" s="22" t="str">
        <f>masterlist!C8</f>
        <v>run</v>
      </c>
      <c r="H9" s="22">
        <v>7</v>
      </c>
      <c r="I9" s="22"/>
      <c r="J9" s="22"/>
      <c r="K9" s="22"/>
      <c r="L9" s="7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">
      <c r="A10" s="11" t="s">
        <v>38</v>
      </c>
      <c r="B10" s="22" t="str">
        <f t="shared" si="0"/>
        <v>Sing 1.jpg</v>
      </c>
      <c r="C10" s="22" t="str">
        <f>masterlist!J9</f>
        <v>44.mp4</v>
      </c>
      <c r="D10" s="22" t="s">
        <v>232</v>
      </c>
      <c r="E10" s="22" t="s">
        <v>649</v>
      </c>
      <c r="F10" s="22" t="s">
        <v>650</v>
      </c>
      <c r="G10" s="22" t="str">
        <f>masterlist!C9</f>
        <v>sing</v>
      </c>
      <c r="H10" s="22">
        <v>8</v>
      </c>
      <c r="I10" s="22"/>
      <c r="J10" s="22"/>
      <c r="K10" s="22"/>
      <c r="L10" s="7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">
      <c r="A11" s="11" t="s">
        <v>38</v>
      </c>
      <c r="B11" s="22" t="str">
        <f t="shared" si="0"/>
        <v>Think 1.jpg</v>
      </c>
      <c r="C11" s="22" t="str">
        <f>masterlist!J10</f>
        <v>46.mp4</v>
      </c>
      <c r="D11" s="22" t="s">
        <v>232</v>
      </c>
      <c r="E11" s="22" t="s">
        <v>649</v>
      </c>
      <c r="F11" s="22" t="s">
        <v>650</v>
      </c>
      <c r="G11" s="22" t="str">
        <f>masterlist!C10</f>
        <v>think</v>
      </c>
      <c r="H11" s="22">
        <v>9</v>
      </c>
      <c r="I11" s="22"/>
      <c r="J11" s="22"/>
      <c r="K11" s="22"/>
      <c r="L11" s="7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">
      <c r="A12" s="11" t="s">
        <v>38</v>
      </c>
      <c r="B12" s="22" t="str">
        <f t="shared" si="0"/>
        <v>Paint 1.jpg</v>
      </c>
      <c r="C12" s="22" t="str">
        <f>masterlist!J11</f>
        <v>42.mp4</v>
      </c>
      <c r="D12" s="22" t="s">
        <v>232</v>
      </c>
      <c r="E12" s="22" t="s">
        <v>649</v>
      </c>
      <c r="F12" s="22" t="s">
        <v>650</v>
      </c>
      <c r="G12" s="22" t="str">
        <f>masterlist!C11</f>
        <v>paint</v>
      </c>
      <c r="H12" s="22">
        <v>10</v>
      </c>
      <c r="I12" s="22"/>
      <c r="J12" s="22"/>
      <c r="K12" s="22"/>
      <c r="L12" s="7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">
      <c r="A13" s="11" t="s">
        <v>38</v>
      </c>
      <c r="B13" s="22" t="str">
        <f t="shared" si="0"/>
        <v>Watch 1.jpg</v>
      </c>
      <c r="C13" s="22" t="str">
        <f>masterlist!J12</f>
        <v>47.mp4</v>
      </c>
      <c r="D13" s="22" t="s">
        <v>232</v>
      </c>
      <c r="E13" s="22" t="s">
        <v>649</v>
      </c>
      <c r="F13" s="22" t="s">
        <v>650</v>
      </c>
      <c r="G13" s="22" t="str">
        <f>masterlist!C12</f>
        <v>watch</v>
      </c>
      <c r="H13" s="22">
        <v>11</v>
      </c>
      <c r="I13" s="22"/>
      <c r="J13" s="22"/>
      <c r="K13" s="22"/>
      <c r="L13" s="7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">
      <c r="A14" s="11" t="s">
        <v>38</v>
      </c>
      <c r="B14" s="22" t="str">
        <f t="shared" si="0"/>
        <v>Write 1.jpg</v>
      </c>
      <c r="C14" s="22" t="str">
        <f>masterlist!J13</f>
        <v>48.mp4</v>
      </c>
      <c r="D14" s="22" t="s">
        <v>232</v>
      </c>
      <c r="E14" s="22" t="s">
        <v>649</v>
      </c>
      <c r="F14" s="22" t="s">
        <v>650</v>
      </c>
      <c r="G14" s="22" t="str">
        <f>masterlist!C13</f>
        <v>write</v>
      </c>
      <c r="H14" s="22">
        <v>12</v>
      </c>
      <c r="I14" s="22"/>
      <c r="J14" s="22"/>
      <c r="K14" s="22"/>
      <c r="L14" s="7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">
      <c r="A15" s="13" t="s">
        <v>38</v>
      </c>
      <c r="B15" s="22" t="str">
        <f t="shared" si="0"/>
        <v>Beauty 2.jpg</v>
      </c>
      <c r="C15" s="22" t="str">
        <f>masterlist!J14</f>
        <v>25.mp4</v>
      </c>
      <c r="D15" s="22" t="s">
        <v>649</v>
      </c>
      <c r="E15" s="22" t="s">
        <v>649</v>
      </c>
      <c r="F15" s="22" t="s">
        <v>650</v>
      </c>
      <c r="G15" s="22" t="str">
        <f>masterlist!C14</f>
        <v>beauty</v>
      </c>
      <c r="H15" s="22">
        <v>13</v>
      </c>
      <c r="I15" s="22"/>
      <c r="J15" s="22"/>
      <c r="K15" s="22"/>
      <c r="L15" s="7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">
      <c r="A16" s="13" t="s">
        <v>38</v>
      </c>
      <c r="B16" s="22" t="str">
        <f t="shared" si="0"/>
        <v>Change 2.jpg</v>
      </c>
      <c r="C16" s="22" t="str">
        <f>masterlist!J15</f>
        <v>34.mp4</v>
      </c>
      <c r="D16" s="22" t="s">
        <v>649</v>
      </c>
      <c r="E16" s="22" t="s">
        <v>649</v>
      </c>
      <c r="F16" s="22" t="s">
        <v>650</v>
      </c>
      <c r="G16" s="22" t="str">
        <f>masterlist!C15</f>
        <v>change</v>
      </c>
      <c r="H16" s="22">
        <v>14</v>
      </c>
      <c r="I16" s="22"/>
      <c r="J16" s="22"/>
      <c r="K16" s="22"/>
      <c r="L16" s="7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">
      <c r="A17" s="13" t="s">
        <v>38</v>
      </c>
      <c r="B17" s="22" t="str">
        <f t="shared" si="0"/>
        <v>Book 2.jpg</v>
      </c>
      <c r="C17" s="22" t="str">
        <f>masterlist!J16</f>
        <v>26.mp4</v>
      </c>
      <c r="D17" s="22" t="s">
        <v>649</v>
      </c>
      <c r="E17" s="22" t="s">
        <v>649</v>
      </c>
      <c r="F17" s="22" t="s">
        <v>650</v>
      </c>
      <c r="G17" s="22" t="str">
        <f>masterlist!C16</f>
        <v>book</v>
      </c>
      <c r="H17" s="22">
        <v>15</v>
      </c>
      <c r="I17" s="22"/>
      <c r="J17" s="22"/>
      <c r="K17" s="22"/>
      <c r="L17" s="7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">
      <c r="A18" s="13" t="s">
        <v>38</v>
      </c>
      <c r="B18" s="22" t="str">
        <f t="shared" si="0"/>
        <v>Coffee 2.jpg</v>
      </c>
      <c r="C18" s="22" t="str">
        <f>masterlist!J17</f>
        <v>29.mp4</v>
      </c>
      <c r="D18" s="22" t="s">
        <v>649</v>
      </c>
      <c r="E18" s="22" t="s">
        <v>649</v>
      </c>
      <c r="F18" s="22" t="s">
        <v>650</v>
      </c>
      <c r="G18" s="22" t="str">
        <f>masterlist!C17</f>
        <v>coffee</v>
      </c>
      <c r="H18" s="22">
        <v>16</v>
      </c>
      <c r="I18" s="22"/>
      <c r="J18" s="22"/>
      <c r="K18" s="22"/>
      <c r="L18" s="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">
      <c r="A19" s="13" t="s">
        <v>38</v>
      </c>
      <c r="B19" s="22" t="str">
        <f t="shared" si="0"/>
        <v>Cigar 2.jpg</v>
      </c>
      <c r="C19" s="22" t="str">
        <f>masterlist!J18</f>
        <v>30.mp4</v>
      </c>
      <c r="D19" s="22" t="s">
        <v>649</v>
      </c>
      <c r="E19" s="22" t="s">
        <v>649</v>
      </c>
      <c r="F19" s="22" t="s">
        <v>650</v>
      </c>
      <c r="G19" s="22" t="str">
        <f>masterlist!C18</f>
        <v>cigar</v>
      </c>
      <c r="H19" s="22">
        <v>17</v>
      </c>
      <c r="I19" s="22"/>
      <c r="J19" s="22"/>
      <c r="K19" s="22"/>
      <c r="L19" s="7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">
      <c r="A20" s="13" t="s">
        <v>38</v>
      </c>
      <c r="B20" s="22" t="str">
        <f t="shared" si="0"/>
        <v>Flower 2.jpg</v>
      </c>
      <c r="C20" s="22" t="str">
        <f>masterlist!J19</f>
        <v>33.mp4</v>
      </c>
      <c r="D20" s="22" t="s">
        <v>649</v>
      </c>
      <c r="E20" s="22" t="s">
        <v>649</v>
      </c>
      <c r="F20" s="22" t="s">
        <v>650</v>
      </c>
      <c r="G20" s="22" t="str">
        <f>masterlist!C19</f>
        <v>flower</v>
      </c>
      <c r="H20" s="22">
        <v>18</v>
      </c>
      <c r="I20" s="22"/>
      <c r="J20" s="22"/>
      <c r="K20" s="22"/>
      <c r="L20" s="7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">
      <c r="A21" s="13" t="s">
        <v>38</v>
      </c>
      <c r="B21" s="22" t="str">
        <f t="shared" si="0"/>
        <v>Metal 1.jpg</v>
      </c>
      <c r="C21" s="22" t="str">
        <f>masterlist!J20</f>
        <v>35.mp4</v>
      </c>
      <c r="D21" s="22" t="s">
        <v>232</v>
      </c>
      <c r="E21" s="22" t="s">
        <v>649</v>
      </c>
      <c r="F21" s="22" t="s">
        <v>650</v>
      </c>
      <c r="G21" s="22" t="str">
        <f>masterlist!C20</f>
        <v>metal</v>
      </c>
      <c r="H21" s="22">
        <v>19</v>
      </c>
      <c r="I21" s="22"/>
      <c r="J21" s="22"/>
      <c r="K21" s="22"/>
      <c r="L21" s="7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">
      <c r="A22" s="13" t="s">
        <v>38</v>
      </c>
      <c r="B22" s="22" t="str">
        <f t="shared" si="0"/>
        <v>Telephone 1.jpg</v>
      </c>
      <c r="C22" s="22" t="str">
        <f>masterlist!J21</f>
        <v>36.mp4</v>
      </c>
      <c r="D22" s="22" t="s">
        <v>232</v>
      </c>
      <c r="E22" s="22" t="s">
        <v>649</v>
      </c>
      <c r="F22" s="22" t="s">
        <v>650</v>
      </c>
      <c r="G22" s="22" t="str">
        <f>masterlist!C21</f>
        <v>telephone</v>
      </c>
      <c r="H22" s="22">
        <v>20</v>
      </c>
      <c r="I22" s="22"/>
      <c r="J22" s="22"/>
      <c r="K22" s="22"/>
      <c r="L22" s="7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">
      <c r="A23" s="13" t="s">
        <v>38</v>
      </c>
      <c r="B23" s="22" t="str">
        <f t="shared" si="0"/>
        <v>Jump 1.jpg</v>
      </c>
      <c r="C23" s="22" t="str">
        <f>masterlist!J22</f>
        <v>39.mp4</v>
      </c>
      <c r="D23" s="22" t="s">
        <v>232</v>
      </c>
      <c r="E23" s="22" t="s">
        <v>649</v>
      </c>
      <c r="F23" s="22" t="s">
        <v>650</v>
      </c>
      <c r="G23" s="22" t="str">
        <f>masterlist!C22</f>
        <v>jump</v>
      </c>
      <c r="H23" s="22">
        <v>21</v>
      </c>
      <c r="I23" s="22"/>
      <c r="J23" s="22"/>
      <c r="K23" s="22"/>
      <c r="L23" s="7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">
      <c r="A24" s="13" t="s">
        <v>38</v>
      </c>
      <c r="B24" s="22" t="str">
        <f t="shared" si="0"/>
        <v>Leave 1.jpg</v>
      </c>
      <c r="C24" s="22" t="str">
        <f>masterlist!J23</f>
        <v>40.mp4</v>
      </c>
      <c r="D24" s="22" t="s">
        <v>232</v>
      </c>
      <c r="E24" s="22" t="s">
        <v>649</v>
      </c>
      <c r="F24" s="22" t="s">
        <v>650</v>
      </c>
      <c r="G24" s="22" t="str">
        <f>masterlist!C23</f>
        <v>leave</v>
      </c>
      <c r="H24" s="22">
        <v>22</v>
      </c>
      <c r="I24" s="22"/>
      <c r="J24" s="22"/>
      <c r="K24" s="22"/>
      <c r="L24" s="7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">
      <c r="A25" s="13" t="s">
        <v>38</v>
      </c>
      <c r="B25" s="22" t="str">
        <f t="shared" si="0"/>
        <v>Lose 1.jpg</v>
      </c>
      <c r="C25" s="22" t="str">
        <f>masterlist!J24</f>
        <v>41.mp4</v>
      </c>
      <c r="D25" s="22" t="s">
        <v>232</v>
      </c>
      <c r="E25" s="22" t="s">
        <v>649</v>
      </c>
      <c r="F25" s="22" t="s">
        <v>650</v>
      </c>
      <c r="G25" s="22" t="str">
        <f>masterlist!C24</f>
        <v>lose</v>
      </c>
      <c r="H25" s="22">
        <v>23</v>
      </c>
      <c r="I25" s="22"/>
      <c r="J25" s="22"/>
      <c r="K25" s="22"/>
      <c r="L25" s="7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">
      <c r="A26" s="13" t="s">
        <v>38</v>
      </c>
      <c r="B26" s="22" t="str">
        <f t="shared" si="0"/>
        <v>Take 1.jpg</v>
      </c>
      <c r="C26" s="22" t="str">
        <f>masterlist!J25</f>
        <v>45.mp4</v>
      </c>
      <c r="D26" s="22" t="s">
        <v>232</v>
      </c>
      <c r="E26" s="22" t="s">
        <v>649</v>
      </c>
      <c r="F26" s="22" t="s">
        <v>650</v>
      </c>
      <c r="G26" s="22" t="str">
        <f>masterlist!C25</f>
        <v>take</v>
      </c>
      <c r="H26" s="22">
        <v>24</v>
      </c>
      <c r="I26" s="22"/>
      <c r="J26" s="22"/>
      <c r="K26" s="22"/>
      <c r="L26" s="7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">
      <c r="A27" s="11" t="s">
        <v>38</v>
      </c>
      <c r="B27" s="22" t="str">
        <f t="shared" si="0"/>
        <v>Frog 2.jpg</v>
      </c>
      <c r="C27" s="22" t="str">
        <f>masterlist!J26</f>
        <v>6.mp4</v>
      </c>
      <c r="D27" s="22" t="s">
        <v>649</v>
      </c>
      <c r="E27" s="22" t="s">
        <v>649</v>
      </c>
      <c r="F27" s="22" t="s">
        <v>650</v>
      </c>
      <c r="G27" s="22" t="str">
        <f>masterlist!C26</f>
        <v>frog</v>
      </c>
      <c r="H27" s="22">
        <v>25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">
      <c r="A28" s="11" t="s">
        <v>38</v>
      </c>
      <c r="B28" s="22" t="str">
        <f t="shared" si="0"/>
        <v>Gorilla 2.jpg</v>
      </c>
      <c r="C28" s="22" t="str">
        <f>masterlist!J27</f>
        <v>7.mp4</v>
      </c>
      <c r="D28" s="22" t="s">
        <v>649</v>
      </c>
      <c r="E28" s="22" t="s">
        <v>649</v>
      </c>
      <c r="F28" s="22" t="s">
        <v>650</v>
      </c>
      <c r="G28" s="22" t="str">
        <f>masterlist!C27</f>
        <v>gorilla</v>
      </c>
      <c r="H28" s="22">
        <v>26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">
      <c r="A29" s="11" t="s">
        <v>38</v>
      </c>
      <c r="B29" s="22" t="str">
        <f t="shared" si="0"/>
        <v>Come 2.jpg</v>
      </c>
      <c r="C29" s="22" t="str">
        <f>masterlist!J28</f>
        <v>14.mp4</v>
      </c>
      <c r="D29" s="22" t="s">
        <v>649</v>
      </c>
      <c r="E29" s="22" t="s">
        <v>649</v>
      </c>
      <c r="F29" s="22" t="s">
        <v>650</v>
      </c>
      <c r="G29" s="22" t="str">
        <f>masterlist!C28</f>
        <v>come</v>
      </c>
      <c r="H29" s="22">
        <v>27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">
      <c r="A30" s="11" t="s">
        <v>38</v>
      </c>
      <c r="B30" s="22" t="str">
        <f t="shared" si="0"/>
        <v>Sail 2.jpg</v>
      </c>
      <c r="C30" s="22" t="str">
        <f>masterlist!J29</f>
        <v>18.mp4</v>
      </c>
      <c r="D30" s="22" t="s">
        <v>649</v>
      </c>
      <c r="E30" s="22" t="s">
        <v>649</v>
      </c>
      <c r="F30" s="22" t="s">
        <v>650</v>
      </c>
      <c r="G30" s="22" t="str">
        <f>masterlist!C29</f>
        <v>sail</v>
      </c>
      <c r="H30" s="22">
        <v>28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">
      <c r="A31" s="11" t="s">
        <v>38</v>
      </c>
      <c r="B31" s="22" t="str">
        <f t="shared" si="0"/>
        <v>Travel 2.jpg</v>
      </c>
      <c r="C31" s="22" t="str">
        <f>masterlist!J30</f>
        <v>21.mp4</v>
      </c>
      <c r="D31" s="22" t="s">
        <v>649</v>
      </c>
      <c r="E31" s="22" t="s">
        <v>649</v>
      </c>
      <c r="F31" s="22" t="s">
        <v>650</v>
      </c>
      <c r="G31" s="22" t="str">
        <f>masterlist!C30</f>
        <v>travel</v>
      </c>
      <c r="H31" s="22">
        <v>29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">
      <c r="A32" s="11" t="s">
        <v>38</v>
      </c>
      <c r="B32" s="22" t="str">
        <f t="shared" si="0"/>
        <v>Doubt 2.jpg</v>
      </c>
      <c r="C32" s="22" t="str">
        <f>masterlist!J31</f>
        <v>15.mp4</v>
      </c>
      <c r="D32" s="22" t="s">
        <v>649</v>
      </c>
      <c r="E32" s="22" t="s">
        <v>649</v>
      </c>
      <c r="F32" s="22" t="s">
        <v>650</v>
      </c>
      <c r="G32" s="22" t="str">
        <f>masterlist!C31</f>
        <v>doubt</v>
      </c>
      <c r="H32" s="22">
        <v>30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">
      <c r="A33" s="11" t="s">
        <v>38</v>
      </c>
      <c r="B33" s="22" t="str">
        <f t="shared" si="0"/>
        <v>Play 1.jpg</v>
      </c>
      <c r="C33" s="22" t="str">
        <f>masterlist!J32</f>
        <v>16.mp4</v>
      </c>
      <c r="D33" s="22" t="s">
        <v>232</v>
      </c>
      <c r="E33" s="22" t="s">
        <v>649</v>
      </c>
      <c r="F33" s="22" t="s">
        <v>650</v>
      </c>
      <c r="G33" s="22" t="str">
        <f>masterlist!C32</f>
        <v>play</v>
      </c>
      <c r="H33" s="22">
        <v>31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">
      <c r="A34" s="11" t="s">
        <v>38</v>
      </c>
      <c r="B34" s="22" t="str">
        <f t="shared" si="0"/>
        <v>Engagement 1.jpg</v>
      </c>
      <c r="C34" s="22" t="str">
        <f>masterlist!J33</f>
        <v>2.mp4</v>
      </c>
      <c r="D34" s="22" t="s">
        <v>232</v>
      </c>
      <c r="E34" s="22" t="s">
        <v>649</v>
      </c>
      <c r="F34" s="22" t="s">
        <v>650</v>
      </c>
      <c r="G34" s="22" t="str">
        <f>masterlist!C33</f>
        <v>engagement</v>
      </c>
      <c r="H34" s="22">
        <v>32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">
      <c r="A35" s="11" t="s">
        <v>38</v>
      </c>
      <c r="B35" s="22" t="str">
        <f t="shared" si="0"/>
        <v>Color 1.jpg</v>
      </c>
      <c r="C35" s="22" t="str">
        <f>masterlist!J34</f>
        <v>3.mp4</v>
      </c>
      <c r="D35" s="22" t="s">
        <v>232</v>
      </c>
      <c r="E35" s="22" t="s">
        <v>649</v>
      </c>
      <c r="F35" s="22" t="s">
        <v>650</v>
      </c>
      <c r="G35" s="22" t="str">
        <f>masterlist!C34</f>
        <v>color</v>
      </c>
      <c r="H35" s="22">
        <v>33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">
      <c r="A36" s="11" t="s">
        <v>38</v>
      </c>
      <c r="B36" s="22" t="str">
        <f t="shared" si="0"/>
        <v>East 1.jpg</v>
      </c>
      <c r="C36" s="22" t="str">
        <f>masterlist!J35</f>
        <v>5.mp4</v>
      </c>
      <c r="D36" s="22" t="s">
        <v>232</v>
      </c>
      <c r="E36" s="22" t="s">
        <v>649</v>
      </c>
      <c r="F36" s="22" t="s">
        <v>650</v>
      </c>
      <c r="G36" s="22" t="str">
        <f>masterlist!C35</f>
        <v>east</v>
      </c>
      <c r="H36" s="22">
        <v>34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">
      <c r="A37" s="11" t="s">
        <v>38</v>
      </c>
      <c r="B37" s="22" t="str">
        <f t="shared" si="0"/>
        <v>School 1.jpg</v>
      </c>
      <c r="C37" s="22" t="str">
        <f>masterlist!J36</f>
        <v>11.mp4</v>
      </c>
      <c r="D37" s="22" t="s">
        <v>232</v>
      </c>
      <c r="E37" s="22" t="s">
        <v>649</v>
      </c>
      <c r="F37" s="22" t="s">
        <v>650</v>
      </c>
      <c r="G37" s="22" t="str">
        <f>masterlist!C36</f>
        <v>school</v>
      </c>
      <c r="H37" s="22">
        <v>35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">
      <c r="A38" s="11" t="s">
        <v>38</v>
      </c>
      <c r="B38" s="22" t="str">
        <f t="shared" si="0"/>
        <v>Pain 1.jpg</v>
      </c>
      <c r="C38" s="22" t="str">
        <f>masterlist!J37</f>
        <v>12.mp4</v>
      </c>
      <c r="D38" s="22" t="s">
        <v>232</v>
      </c>
      <c r="E38" s="22" t="s">
        <v>649</v>
      </c>
      <c r="F38" s="22" t="s">
        <v>650</v>
      </c>
      <c r="G38" s="22" t="str">
        <f>masterlist!C37</f>
        <v>pain</v>
      </c>
      <c r="H38" s="22">
        <v>36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">
      <c r="A39" s="13" t="s">
        <v>38</v>
      </c>
      <c r="B39" s="22" t="str">
        <f t="shared" si="0"/>
        <v>Cabbage 2.jpg</v>
      </c>
      <c r="C39" s="22" t="str">
        <f>masterlist!J38</f>
        <v>1.mp4</v>
      </c>
      <c r="D39" s="22" t="s">
        <v>649</v>
      </c>
      <c r="E39" s="22" t="s">
        <v>649</v>
      </c>
      <c r="F39" s="22" t="s">
        <v>650</v>
      </c>
      <c r="G39" s="22" t="str">
        <f>masterlist!C38</f>
        <v>cabbage</v>
      </c>
      <c r="H39" s="22">
        <v>37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">
      <c r="A40" s="13" t="s">
        <v>38</v>
      </c>
      <c r="B40" s="22" t="str">
        <f t="shared" si="0"/>
        <v>Doll 2.jpg</v>
      </c>
      <c r="C40" s="22" t="str">
        <f>masterlist!J39</f>
        <v>4.mp4</v>
      </c>
      <c r="D40" s="22" t="s">
        <v>649</v>
      </c>
      <c r="E40" s="22" t="s">
        <v>649</v>
      </c>
      <c r="F40" s="22" t="s">
        <v>650</v>
      </c>
      <c r="G40" s="22" t="str">
        <f>masterlist!C39</f>
        <v>doll</v>
      </c>
      <c r="H40" s="22">
        <v>38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">
      <c r="A41" s="13" t="s">
        <v>38</v>
      </c>
      <c r="B41" s="22" t="str">
        <f t="shared" si="0"/>
        <v>Magazine 2.jpg</v>
      </c>
      <c r="C41" s="22" t="str">
        <f>masterlist!J40</f>
        <v>8.mp4</v>
      </c>
      <c r="D41" s="22" t="s">
        <v>649</v>
      </c>
      <c r="E41" s="22" t="s">
        <v>649</v>
      </c>
      <c r="F41" s="22" t="s">
        <v>650</v>
      </c>
      <c r="G41" s="22" t="str">
        <f>masterlist!C40</f>
        <v>magazine</v>
      </c>
      <c r="H41" s="22">
        <v>39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">
      <c r="A42" s="13" t="s">
        <v>38</v>
      </c>
      <c r="B42" s="22" t="str">
        <f t="shared" si="0"/>
        <v>Ring 2.jpg</v>
      </c>
      <c r="C42" s="22" t="str">
        <f>masterlist!J41</f>
        <v>9.mp4</v>
      </c>
      <c r="D42" s="22" t="s">
        <v>649</v>
      </c>
      <c r="E42" s="22" t="s">
        <v>649</v>
      </c>
      <c r="F42" s="22" t="s">
        <v>650</v>
      </c>
      <c r="G42" s="22" t="str">
        <f>masterlist!C41</f>
        <v>ring</v>
      </c>
      <c r="H42" s="22">
        <v>40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">
      <c r="A43" s="13" t="s">
        <v>38</v>
      </c>
      <c r="B43" s="22" t="str">
        <f t="shared" si="0"/>
        <v>Salt 2.jpg</v>
      </c>
      <c r="C43" s="22" t="str">
        <f>masterlist!J42</f>
        <v>10.mp4</v>
      </c>
      <c r="D43" s="22" t="s">
        <v>649</v>
      </c>
      <c r="E43" s="22" t="s">
        <v>649</v>
      </c>
      <c r="F43" s="22" t="s">
        <v>650</v>
      </c>
      <c r="G43" s="22" t="str">
        <f>masterlist!C42</f>
        <v>salt</v>
      </c>
      <c r="H43" s="22">
        <v>41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">
      <c r="A44" s="13" t="s">
        <v>38</v>
      </c>
      <c r="B44" s="22" t="str">
        <f t="shared" si="0"/>
        <v>Sneeze 2.jpg</v>
      </c>
      <c r="C44" s="22" t="str">
        <f>masterlist!J43</f>
        <v>20.mp4</v>
      </c>
      <c r="D44" s="22" t="s">
        <v>649</v>
      </c>
      <c r="E44" s="22" t="s">
        <v>649</v>
      </c>
      <c r="F44" s="22" t="s">
        <v>650</v>
      </c>
      <c r="G44" s="22" t="str">
        <f>masterlist!C43</f>
        <v>sneeze</v>
      </c>
      <c r="H44" s="22">
        <v>42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">
      <c r="A45" s="13" t="s">
        <v>38</v>
      </c>
      <c r="B45" s="22" t="str">
        <f t="shared" si="0"/>
        <v>Try 1.jpg</v>
      </c>
      <c r="C45" s="22" t="str">
        <f>masterlist!J44</f>
        <v>22.mp4</v>
      </c>
      <c r="D45" s="22" t="s">
        <v>232</v>
      </c>
      <c r="E45" s="22" t="s">
        <v>649</v>
      </c>
      <c r="F45" s="22" t="s">
        <v>650</v>
      </c>
      <c r="G45" s="22" t="str">
        <f>masterlist!C44</f>
        <v>try</v>
      </c>
      <c r="H45" s="22">
        <v>43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">
      <c r="A46" s="13" t="s">
        <v>38</v>
      </c>
      <c r="B46" s="22" t="str">
        <f t="shared" si="0"/>
        <v>Wait 1.jpg</v>
      </c>
      <c r="C46" s="22" t="str">
        <f>masterlist!J45</f>
        <v>23.mp4</v>
      </c>
      <c r="D46" s="22" t="s">
        <v>232</v>
      </c>
      <c r="E46" s="22" t="s">
        <v>649</v>
      </c>
      <c r="F46" s="22" t="s">
        <v>650</v>
      </c>
      <c r="G46" s="22" t="str">
        <f>masterlist!C45</f>
        <v>wait</v>
      </c>
      <c r="H46" s="22">
        <v>44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">
      <c r="A47" s="13" t="s">
        <v>38</v>
      </c>
      <c r="B47" s="22" t="str">
        <f t="shared" si="0"/>
        <v>Call 1.jpg</v>
      </c>
      <c r="C47" s="22" t="str">
        <f>masterlist!J46</f>
        <v>13.mp4</v>
      </c>
      <c r="D47" s="22" t="s">
        <v>232</v>
      </c>
      <c r="E47" s="22" t="s">
        <v>649</v>
      </c>
      <c r="F47" s="22" t="s">
        <v>650</v>
      </c>
      <c r="G47" s="22" t="str">
        <f>masterlist!C46</f>
        <v>call</v>
      </c>
      <c r="H47" s="22">
        <v>45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">
      <c r="A48" s="13" t="s">
        <v>38</v>
      </c>
      <c r="B48" s="22" t="str">
        <f t="shared" si="0"/>
        <v>Choose 1.jpg</v>
      </c>
      <c r="C48" s="22" t="str">
        <f>masterlist!J47</f>
        <v>17.mp4</v>
      </c>
      <c r="D48" s="22" t="s">
        <v>232</v>
      </c>
      <c r="E48" s="22" t="s">
        <v>649</v>
      </c>
      <c r="F48" s="22" t="s">
        <v>650</v>
      </c>
      <c r="G48" s="22" t="str">
        <f>masterlist!C47</f>
        <v>choose</v>
      </c>
      <c r="H48" s="22">
        <v>46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">
      <c r="A49" s="13" t="s">
        <v>38</v>
      </c>
      <c r="B49" s="22" t="str">
        <f t="shared" si="0"/>
        <v>Show 1.jpg</v>
      </c>
      <c r="C49" s="22" t="str">
        <f>masterlist!J48</f>
        <v>19.mp4</v>
      </c>
      <c r="D49" s="22" t="s">
        <v>232</v>
      </c>
      <c r="E49" s="22" t="s">
        <v>649</v>
      </c>
      <c r="F49" s="22" t="s">
        <v>650</v>
      </c>
      <c r="G49" s="22" t="str">
        <f>masterlist!C48</f>
        <v>show</v>
      </c>
      <c r="H49" s="22">
        <v>47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">
      <c r="A50" s="13" t="s">
        <v>38</v>
      </c>
      <c r="B50" s="22" t="str">
        <f t="shared" si="0"/>
        <v>Win 1.jpg</v>
      </c>
      <c r="C50" s="22" t="str">
        <f>masterlist!J49</f>
        <v>24.mp4</v>
      </c>
      <c r="D50" s="22" t="s">
        <v>232</v>
      </c>
      <c r="E50" s="22" t="s">
        <v>649</v>
      </c>
      <c r="F50" s="22" t="s">
        <v>650</v>
      </c>
      <c r="G50" s="22" t="str">
        <f>masterlist!C49</f>
        <v>win</v>
      </c>
      <c r="H50" s="22">
        <v>48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x14ac:dyDescent="0.2">
      <c r="A51" s="13" t="s">
        <v>230</v>
      </c>
      <c r="B51" s="22" t="str">
        <f>rsl_list2!B3</f>
        <v>Boy 1.jpg</v>
      </c>
      <c r="C51" s="22" t="str">
        <f>foils!I2</f>
        <v>49.mp4</v>
      </c>
      <c r="D51" s="22" t="s">
        <v>232</v>
      </c>
      <c r="E51" s="22" t="s">
        <v>232</v>
      </c>
      <c r="F51" s="22" t="s">
        <v>653</v>
      </c>
      <c r="G51" s="22" t="s">
        <v>231</v>
      </c>
      <c r="H51" s="22">
        <v>49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x14ac:dyDescent="0.2">
      <c r="A52" s="13" t="s">
        <v>230</v>
      </c>
      <c r="B52" s="22" t="str">
        <f>rsl_list2!B4</f>
        <v>Children 1.jpg</v>
      </c>
      <c r="C52" s="22" t="str">
        <f>foils!I3</f>
        <v>50.mp4</v>
      </c>
      <c r="D52" s="22" t="s">
        <v>232</v>
      </c>
      <c r="E52" s="22" t="s">
        <v>232</v>
      </c>
      <c r="F52" s="22" t="s">
        <v>653</v>
      </c>
      <c r="G52" s="22" t="s">
        <v>231</v>
      </c>
      <c r="H52" s="22">
        <v>50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x14ac:dyDescent="0.2">
      <c r="A53" s="13" t="s">
        <v>230</v>
      </c>
      <c r="B53" s="22" t="str">
        <f>rsl_list2!B5</f>
        <v>Eagle 1.jpg</v>
      </c>
      <c r="C53" s="22" t="str">
        <f>foils!I4</f>
        <v>51.mp4</v>
      </c>
      <c r="D53" s="22" t="s">
        <v>232</v>
      </c>
      <c r="E53" s="22" t="s">
        <v>232</v>
      </c>
      <c r="F53" s="22" t="s">
        <v>653</v>
      </c>
      <c r="G53" s="22" t="s">
        <v>231</v>
      </c>
      <c r="H53" s="22">
        <v>51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x14ac:dyDescent="0.2">
      <c r="A54" s="13" t="s">
        <v>230</v>
      </c>
      <c r="B54" s="22" t="str">
        <f>rsl_list2!B6</f>
        <v>Family 1.jpg</v>
      </c>
      <c r="C54" s="22" t="str">
        <f>foils!I5</f>
        <v>52.mp4</v>
      </c>
      <c r="D54" s="22" t="s">
        <v>232</v>
      </c>
      <c r="E54" s="22" t="s">
        <v>232</v>
      </c>
      <c r="F54" s="22" t="s">
        <v>653</v>
      </c>
      <c r="G54" s="22" t="s">
        <v>231</v>
      </c>
      <c r="H54" s="22">
        <v>52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x14ac:dyDescent="0.2">
      <c r="A55" s="13" t="s">
        <v>230</v>
      </c>
      <c r="B55" s="22" t="str">
        <f>rsl_list2!B7</f>
        <v>Breathe 1.jpg</v>
      </c>
      <c r="C55" s="22" t="str">
        <f>foils!I6</f>
        <v>53.mp4</v>
      </c>
      <c r="D55" s="22" t="s">
        <v>232</v>
      </c>
      <c r="E55" s="22" t="s">
        <v>232</v>
      </c>
      <c r="F55" s="22" t="s">
        <v>653</v>
      </c>
      <c r="G55" s="22" t="s">
        <v>231</v>
      </c>
      <c r="H55" s="22">
        <v>53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x14ac:dyDescent="0.2">
      <c r="A56" s="13" t="s">
        <v>230</v>
      </c>
      <c r="B56" s="22" t="str">
        <f>rsl_list2!B8</f>
        <v>Cry 1.jpg</v>
      </c>
      <c r="C56" s="22" t="str">
        <f>foils!I7</f>
        <v>54.mp4</v>
      </c>
      <c r="D56" s="22" t="s">
        <v>232</v>
      </c>
      <c r="E56" s="22" t="s">
        <v>232</v>
      </c>
      <c r="F56" s="22" t="s">
        <v>653</v>
      </c>
      <c r="G56" s="22" t="s">
        <v>231</v>
      </c>
      <c r="H56" s="22">
        <v>54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x14ac:dyDescent="0.2">
      <c r="A57" s="13" t="s">
        <v>230</v>
      </c>
      <c r="B57" s="22" t="str">
        <f>rsl_list2!B9</f>
        <v>Run 2.jpg</v>
      </c>
      <c r="C57" s="22" t="str">
        <f>foils!I8</f>
        <v>55.mp4</v>
      </c>
      <c r="D57" s="22" t="s">
        <v>232</v>
      </c>
      <c r="E57" s="22" t="s">
        <v>232</v>
      </c>
      <c r="F57" s="22" t="s">
        <v>653</v>
      </c>
      <c r="G57" s="22" t="s">
        <v>231</v>
      </c>
      <c r="H57" s="22">
        <v>55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x14ac:dyDescent="0.2">
      <c r="A58" s="13" t="s">
        <v>230</v>
      </c>
      <c r="B58" s="22" t="str">
        <f>rsl_list2!B10</f>
        <v>Sing 2.jpg</v>
      </c>
      <c r="C58" s="22" t="str">
        <f>foils!I9</f>
        <v>56.mp4</v>
      </c>
      <c r="D58" s="22" t="s">
        <v>232</v>
      </c>
      <c r="E58" s="22" t="s">
        <v>232</v>
      </c>
      <c r="F58" s="22" t="s">
        <v>653</v>
      </c>
      <c r="G58" s="22" t="s">
        <v>231</v>
      </c>
      <c r="H58" s="22">
        <v>56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x14ac:dyDescent="0.2">
      <c r="A59" s="13" t="s">
        <v>230</v>
      </c>
      <c r="B59" s="22" t="str">
        <f>rsl_list2!B11</f>
        <v>Think 2.jpg</v>
      </c>
      <c r="C59" s="22" t="str">
        <f>foils!I10</f>
        <v>57.mp4</v>
      </c>
      <c r="D59" s="22" t="s">
        <v>232</v>
      </c>
      <c r="E59" s="22" t="s">
        <v>232</v>
      </c>
      <c r="F59" s="22" t="s">
        <v>653</v>
      </c>
      <c r="G59" s="22" t="s">
        <v>231</v>
      </c>
      <c r="H59" s="22">
        <v>57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x14ac:dyDescent="0.2">
      <c r="A60" s="13" t="s">
        <v>230</v>
      </c>
      <c r="B60" s="22" t="str">
        <f>rsl_list2!B12</f>
        <v>Paint 2.jpg</v>
      </c>
      <c r="C60" s="22" t="str">
        <f>foils!I11</f>
        <v>58.mp4</v>
      </c>
      <c r="D60" s="22" t="s">
        <v>232</v>
      </c>
      <c r="E60" s="22" t="s">
        <v>232</v>
      </c>
      <c r="F60" s="22" t="s">
        <v>653</v>
      </c>
      <c r="G60" s="22" t="s">
        <v>231</v>
      </c>
      <c r="H60" s="22">
        <v>58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x14ac:dyDescent="0.2">
      <c r="A61" s="13" t="s">
        <v>230</v>
      </c>
      <c r="B61" s="22" t="str">
        <f>rsl_list2!B13</f>
        <v>Watch 2.jpg</v>
      </c>
      <c r="C61" s="22" t="str">
        <f>foils!I12</f>
        <v>59.mp4</v>
      </c>
      <c r="D61" s="22" t="s">
        <v>232</v>
      </c>
      <c r="E61" s="22" t="s">
        <v>232</v>
      </c>
      <c r="F61" s="22" t="s">
        <v>653</v>
      </c>
      <c r="G61" s="22" t="s">
        <v>231</v>
      </c>
      <c r="H61" s="22">
        <v>59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x14ac:dyDescent="0.2">
      <c r="A62" s="13" t="s">
        <v>230</v>
      </c>
      <c r="B62" s="22" t="str">
        <f>rsl_list2!B14</f>
        <v>Write 2.jpg</v>
      </c>
      <c r="C62" s="22" t="str">
        <f>foils!I13</f>
        <v>60.mp4</v>
      </c>
      <c r="D62" s="22" t="s">
        <v>232</v>
      </c>
      <c r="E62" s="22" t="s">
        <v>232</v>
      </c>
      <c r="F62" s="22" t="s">
        <v>653</v>
      </c>
      <c r="G62" s="22" t="s">
        <v>231</v>
      </c>
      <c r="H62" s="22">
        <v>60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x14ac:dyDescent="0.2">
      <c r="A63" s="13" t="s">
        <v>230</v>
      </c>
      <c r="B63" s="22" t="str">
        <f>rsl_list2!B15</f>
        <v>Beauty 1.jpg</v>
      </c>
      <c r="C63" s="22" t="str">
        <f>foils!I14</f>
        <v>61.mp4</v>
      </c>
      <c r="D63" s="22" t="s">
        <v>232</v>
      </c>
      <c r="E63" s="22" t="s">
        <v>232</v>
      </c>
      <c r="F63" s="22" t="s">
        <v>653</v>
      </c>
      <c r="G63" s="22" t="s">
        <v>231</v>
      </c>
      <c r="H63" s="22">
        <v>61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x14ac:dyDescent="0.2">
      <c r="A64" s="13" t="s">
        <v>230</v>
      </c>
      <c r="B64" s="22" t="str">
        <f>rsl_list2!B16</f>
        <v>Change 1.jpg</v>
      </c>
      <c r="C64" s="22" t="str">
        <f>foils!I15</f>
        <v>62.mp4</v>
      </c>
      <c r="D64" s="22" t="s">
        <v>232</v>
      </c>
      <c r="E64" s="22" t="s">
        <v>232</v>
      </c>
      <c r="F64" s="22" t="s">
        <v>653</v>
      </c>
      <c r="G64" s="22" t="s">
        <v>231</v>
      </c>
      <c r="H64" s="22">
        <v>62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x14ac:dyDescent="0.2">
      <c r="A65" s="13" t="s">
        <v>230</v>
      </c>
      <c r="B65" s="22" t="str">
        <f>rsl_list2!B17</f>
        <v>Book 1.jpg</v>
      </c>
      <c r="C65" s="22" t="str">
        <f>foils!I16</f>
        <v>63.mp4</v>
      </c>
      <c r="D65" s="22" t="s">
        <v>232</v>
      </c>
      <c r="E65" s="22" t="s">
        <v>232</v>
      </c>
      <c r="F65" s="22" t="s">
        <v>653</v>
      </c>
      <c r="G65" s="22" t="s">
        <v>231</v>
      </c>
      <c r="H65" s="22">
        <v>63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x14ac:dyDescent="0.2">
      <c r="A66" s="13" t="s">
        <v>230</v>
      </c>
      <c r="B66" s="22" t="str">
        <f>rsl_list2!B18</f>
        <v>Coffee 1.jpg</v>
      </c>
      <c r="C66" s="22" t="str">
        <f>foils!I17</f>
        <v>64.mp4</v>
      </c>
      <c r="D66" s="22" t="s">
        <v>232</v>
      </c>
      <c r="E66" s="22" t="s">
        <v>232</v>
      </c>
      <c r="F66" s="22" t="s">
        <v>653</v>
      </c>
      <c r="G66" s="22" t="s">
        <v>231</v>
      </c>
      <c r="H66" s="22">
        <v>64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x14ac:dyDescent="0.2">
      <c r="A67" s="13" t="s">
        <v>230</v>
      </c>
      <c r="B67" s="22" t="str">
        <f>rsl_list2!B19</f>
        <v>Cigar 1.jpg</v>
      </c>
      <c r="C67" s="22" t="str">
        <f>foils!I18</f>
        <v>65.mp4</v>
      </c>
      <c r="D67" s="22" t="s">
        <v>232</v>
      </c>
      <c r="E67" s="22" t="s">
        <v>232</v>
      </c>
      <c r="F67" s="22" t="s">
        <v>653</v>
      </c>
      <c r="G67" s="22" t="s">
        <v>231</v>
      </c>
      <c r="H67" s="22">
        <v>65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x14ac:dyDescent="0.2">
      <c r="A68" s="13" t="s">
        <v>230</v>
      </c>
      <c r="B68" s="22" t="str">
        <f>rsl_list2!B20</f>
        <v>Flower 1.jpg</v>
      </c>
      <c r="C68" s="22" t="str">
        <f>foils!I19</f>
        <v>66.mp4</v>
      </c>
      <c r="D68" s="22" t="s">
        <v>232</v>
      </c>
      <c r="E68" s="22" t="s">
        <v>232</v>
      </c>
      <c r="F68" s="22" t="s">
        <v>653</v>
      </c>
      <c r="G68" s="22" t="s">
        <v>231</v>
      </c>
      <c r="H68" s="22">
        <v>66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x14ac:dyDescent="0.2">
      <c r="A69" s="13" t="s">
        <v>230</v>
      </c>
      <c r="B69" s="22" t="str">
        <f>rsl_list2!B21</f>
        <v>Metal 2.jpg</v>
      </c>
      <c r="C69" s="22" t="str">
        <f>foils!I20</f>
        <v>67.mp4</v>
      </c>
      <c r="D69" s="22" t="s">
        <v>232</v>
      </c>
      <c r="E69" s="22" t="s">
        <v>232</v>
      </c>
      <c r="F69" s="22" t="s">
        <v>653</v>
      </c>
      <c r="G69" s="22" t="s">
        <v>231</v>
      </c>
      <c r="H69" s="22">
        <v>67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x14ac:dyDescent="0.2">
      <c r="A70" s="13" t="s">
        <v>230</v>
      </c>
      <c r="B70" s="22" t="str">
        <f>rsl_list2!B22</f>
        <v>Telephone 2.jpg</v>
      </c>
      <c r="C70" s="22" t="str">
        <f>foils!I21</f>
        <v>68.mp4</v>
      </c>
      <c r="D70" s="22" t="s">
        <v>232</v>
      </c>
      <c r="E70" s="22" t="s">
        <v>232</v>
      </c>
      <c r="F70" s="22" t="s">
        <v>653</v>
      </c>
      <c r="G70" s="22" t="s">
        <v>231</v>
      </c>
      <c r="H70" s="22">
        <v>68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x14ac:dyDescent="0.2">
      <c r="A71" s="13" t="s">
        <v>230</v>
      </c>
      <c r="B71" s="22" t="str">
        <f>rsl_list2!B23</f>
        <v>Jump 2.jpg</v>
      </c>
      <c r="C71" s="22" t="str">
        <f>foils!I22</f>
        <v>69.mp4</v>
      </c>
      <c r="D71" s="22" t="s">
        <v>232</v>
      </c>
      <c r="E71" s="22" t="s">
        <v>232</v>
      </c>
      <c r="F71" s="22" t="s">
        <v>653</v>
      </c>
      <c r="G71" s="22" t="s">
        <v>231</v>
      </c>
      <c r="H71" s="22">
        <v>69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x14ac:dyDescent="0.2">
      <c r="A72" s="13" t="s">
        <v>230</v>
      </c>
      <c r="B72" s="22" t="str">
        <f>rsl_list2!B24</f>
        <v>Leave 2.jpg</v>
      </c>
      <c r="C72" s="22" t="str">
        <f>foils!I23</f>
        <v>70.mp4</v>
      </c>
      <c r="D72" s="22" t="s">
        <v>232</v>
      </c>
      <c r="E72" s="22" t="s">
        <v>232</v>
      </c>
      <c r="F72" s="22" t="s">
        <v>653</v>
      </c>
      <c r="G72" s="22" t="s">
        <v>231</v>
      </c>
      <c r="H72" s="22">
        <v>70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x14ac:dyDescent="0.2">
      <c r="A73" s="13" t="s">
        <v>230</v>
      </c>
      <c r="B73" s="22" t="str">
        <f>rsl_list2!B25</f>
        <v>Lose 2.jpg</v>
      </c>
      <c r="C73" s="22" t="str">
        <f>foils!I24</f>
        <v>71.mp4</v>
      </c>
      <c r="D73" s="22" t="s">
        <v>232</v>
      </c>
      <c r="E73" s="22" t="s">
        <v>232</v>
      </c>
      <c r="F73" s="22" t="s">
        <v>653</v>
      </c>
      <c r="G73" s="22" t="s">
        <v>231</v>
      </c>
      <c r="H73" s="22">
        <v>71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x14ac:dyDescent="0.2">
      <c r="A74" s="13" t="s">
        <v>230</v>
      </c>
      <c r="B74" s="22" t="str">
        <f>rsl_list2!B26</f>
        <v>Take 2.jpg</v>
      </c>
      <c r="C74" s="22" t="str">
        <f>foils!I25</f>
        <v>72.mp4</v>
      </c>
      <c r="D74" s="22" t="s">
        <v>232</v>
      </c>
      <c r="E74" s="22" t="s">
        <v>232</v>
      </c>
      <c r="F74" s="22" t="s">
        <v>653</v>
      </c>
      <c r="G74" s="22" t="s">
        <v>231</v>
      </c>
      <c r="H74" s="22">
        <v>72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x14ac:dyDescent="0.2">
      <c r="A75" s="13" t="s">
        <v>230</v>
      </c>
      <c r="B75" s="22" t="str">
        <f>rsl_list2!B27</f>
        <v>Frog 1.jpg</v>
      </c>
      <c r="C75" s="22" t="str">
        <f>foils!I26</f>
        <v>73.mp4</v>
      </c>
      <c r="D75" s="22" t="s">
        <v>232</v>
      </c>
      <c r="E75" s="22" t="s">
        <v>232</v>
      </c>
      <c r="F75" s="22" t="s">
        <v>653</v>
      </c>
      <c r="G75" s="22" t="s">
        <v>231</v>
      </c>
      <c r="H75" s="22">
        <v>73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x14ac:dyDescent="0.2">
      <c r="A76" s="13" t="s">
        <v>230</v>
      </c>
      <c r="B76" s="22" t="str">
        <f>rsl_list2!B28</f>
        <v>Gorilla 1.jpg</v>
      </c>
      <c r="C76" s="22" t="str">
        <f>foils!I27</f>
        <v>74.mp4</v>
      </c>
      <c r="D76" s="22" t="s">
        <v>232</v>
      </c>
      <c r="E76" s="22" t="s">
        <v>232</v>
      </c>
      <c r="F76" s="22" t="s">
        <v>653</v>
      </c>
      <c r="G76" s="22" t="s">
        <v>231</v>
      </c>
      <c r="H76" s="22">
        <v>74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x14ac:dyDescent="0.2">
      <c r="A77" s="13" t="s">
        <v>230</v>
      </c>
      <c r="B77" s="22" t="str">
        <f>rsl_list2!B29</f>
        <v>Come 1.jpg</v>
      </c>
      <c r="C77" s="22" t="str">
        <f>foils!I28</f>
        <v>75.mp4</v>
      </c>
      <c r="D77" s="22" t="s">
        <v>232</v>
      </c>
      <c r="E77" s="22" t="s">
        <v>232</v>
      </c>
      <c r="F77" s="22" t="s">
        <v>653</v>
      </c>
      <c r="G77" s="22" t="s">
        <v>231</v>
      </c>
      <c r="H77" s="22">
        <v>75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x14ac:dyDescent="0.2">
      <c r="A78" s="13" t="s">
        <v>230</v>
      </c>
      <c r="B78" s="22" t="str">
        <f>rsl_list2!B30</f>
        <v>Sail 1.jpg</v>
      </c>
      <c r="C78" s="22" t="str">
        <f>foils!I29</f>
        <v>76.mp4</v>
      </c>
      <c r="D78" s="22" t="s">
        <v>232</v>
      </c>
      <c r="E78" s="22" t="s">
        <v>232</v>
      </c>
      <c r="F78" s="22" t="s">
        <v>653</v>
      </c>
      <c r="G78" s="22" t="s">
        <v>231</v>
      </c>
      <c r="H78" s="22">
        <v>76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x14ac:dyDescent="0.2">
      <c r="A79" s="13" t="s">
        <v>230</v>
      </c>
      <c r="B79" s="22" t="str">
        <f>rsl_list2!B31</f>
        <v>Travel 1.jpg</v>
      </c>
      <c r="C79" s="22" t="str">
        <f>foils!I30</f>
        <v>77.mp4</v>
      </c>
      <c r="D79" s="22" t="s">
        <v>232</v>
      </c>
      <c r="E79" s="22" t="s">
        <v>232</v>
      </c>
      <c r="F79" s="22" t="s">
        <v>653</v>
      </c>
      <c r="G79" s="22" t="s">
        <v>231</v>
      </c>
      <c r="H79" s="22">
        <v>77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x14ac:dyDescent="0.2">
      <c r="A80" s="13" t="s">
        <v>230</v>
      </c>
      <c r="B80" s="22" t="str">
        <f>rsl_list2!B32</f>
        <v>Doubt 1.jpg</v>
      </c>
      <c r="C80" s="22" t="str">
        <f>foils!I31</f>
        <v>78.mp4</v>
      </c>
      <c r="D80" s="22" t="s">
        <v>232</v>
      </c>
      <c r="E80" s="22" t="s">
        <v>232</v>
      </c>
      <c r="F80" s="22" t="s">
        <v>653</v>
      </c>
      <c r="G80" s="22" t="s">
        <v>231</v>
      </c>
      <c r="H80" s="22">
        <v>78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2">
      <c r="A81" s="13" t="s">
        <v>230</v>
      </c>
      <c r="B81" s="22" t="str">
        <f>rsl_list2!B33</f>
        <v>Play 2.jpg</v>
      </c>
      <c r="C81" s="22" t="str">
        <f>foils!I32</f>
        <v>79.mp4</v>
      </c>
      <c r="D81" s="22" t="s">
        <v>232</v>
      </c>
      <c r="E81" s="22" t="s">
        <v>232</v>
      </c>
      <c r="F81" s="22" t="s">
        <v>653</v>
      </c>
      <c r="G81" s="22" t="s">
        <v>231</v>
      </c>
      <c r="H81" s="22">
        <v>79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x14ac:dyDescent="0.2">
      <c r="A82" s="13" t="s">
        <v>230</v>
      </c>
      <c r="B82" s="22" t="str">
        <f>rsl_list2!B34</f>
        <v>Engagement 2.jpg</v>
      </c>
      <c r="C82" s="22" t="str">
        <f>foils!I33</f>
        <v>80.mp4</v>
      </c>
      <c r="D82" s="22" t="s">
        <v>232</v>
      </c>
      <c r="E82" s="22" t="s">
        <v>232</v>
      </c>
      <c r="F82" s="22" t="s">
        <v>653</v>
      </c>
      <c r="G82" s="22" t="s">
        <v>231</v>
      </c>
      <c r="H82" s="22">
        <v>80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x14ac:dyDescent="0.2">
      <c r="A83" s="13" t="s">
        <v>230</v>
      </c>
      <c r="B83" s="22" t="str">
        <f>rsl_list2!B35</f>
        <v>Color 2.jpg</v>
      </c>
      <c r="C83" s="22" t="str">
        <f>foils!I34</f>
        <v>81.mp4</v>
      </c>
      <c r="D83" s="22" t="s">
        <v>232</v>
      </c>
      <c r="E83" s="22" t="s">
        <v>232</v>
      </c>
      <c r="F83" s="22" t="s">
        <v>653</v>
      </c>
      <c r="G83" s="22" t="s">
        <v>231</v>
      </c>
      <c r="H83" s="22">
        <v>81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x14ac:dyDescent="0.2">
      <c r="A84" s="13" t="s">
        <v>230</v>
      </c>
      <c r="B84" s="22" t="str">
        <f>rsl_list2!B36</f>
        <v>East 2.jpg</v>
      </c>
      <c r="C84" s="22" t="str">
        <f>foils!I35</f>
        <v>82.mp4</v>
      </c>
      <c r="D84" s="22" t="s">
        <v>232</v>
      </c>
      <c r="E84" s="22" t="s">
        <v>232</v>
      </c>
      <c r="F84" s="22" t="s">
        <v>653</v>
      </c>
      <c r="G84" s="22" t="s">
        <v>231</v>
      </c>
      <c r="H84" s="22">
        <v>82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x14ac:dyDescent="0.2">
      <c r="A85" s="13" t="s">
        <v>230</v>
      </c>
      <c r="B85" s="22" t="str">
        <f>rsl_list2!B37</f>
        <v>School 2.jpg</v>
      </c>
      <c r="C85" s="22" t="str">
        <f>foils!I36</f>
        <v>83.mp4</v>
      </c>
      <c r="D85" s="22" t="s">
        <v>232</v>
      </c>
      <c r="E85" s="22" t="s">
        <v>232</v>
      </c>
      <c r="F85" s="22" t="s">
        <v>653</v>
      </c>
      <c r="G85" s="22" t="s">
        <v>231</v>
      </c>
      <c r="H85" s="22">
        <v>83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x14ac:dyDescent="0.2">
      <c r="A86" s="13" t="s">
        <v>230</v>
      </c>
      <c r="B86" s="22" t="str">
        <f>rsl_list2!B38</f>
        <v>Pain 2.jpg</v>
      </c>
      <c r="C86" s="22" t="str">
        <f>foils!I37</f>
        <v>84.mp4</v>
      </c>
      <c r="D86" s="22" t="s">
        <v>232</v>
      </c>
      <c r="E86" s="22" t="s">
        <v>232</v>
      </c>
      <c r="F86" s="22" t="s">
        <v>653</v>
      </c>
      <c r="G86" s="22" t="s">
        <v>231</v>
      </c>
      <c r="H86" s="22">
        <v>84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x14ac:dyDescent="0.2">
      <c r="A87" s="13" t="s">
        <v>230</v>
      </c>
      <c r="B87" s="22" t="str">
        <f>rsl_list2!B39</f>
        <v>Cabbage 1.jpg</v>
      </c>
      <c r="C87" s="22" t="str">
        <f>foils!I38</f>
        <v>85.mp4</v>
      </c>
      <c r="D87" s="22" t="s">
        <v>232</v>
      </c>
      <c r="E87" s="22" t="s">
        <v>232</v>
      </c>
      <c r="F87" s="22" t="s">
        <v>653</v>
      </c>
      <c r="G87" s="22" t="s">
        <v>231</v>
      </c>
      <c r="H87" s="22">
        <v>85</v>
      </c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x14ac:dyDescent="0.2">
      <c r="A88" s="13" t="s">
        <v>230</v>
      </c>
      <c r="B88" s="22" t="str">
        <f>rsl_list2!B40</f>
        <v>Doll 1.jpg</v>
      </c>
      <c r="C88" s="22" t="str">
        <f>foils!I39</f>
        <v>86.mp4</v>
      </c>
      <c r="D88" s="22" t="s">
        <v>232</v>
      </c>
      <c r="E88" s="22" t="s">
        <v>232</v>
      </c>
      <c r="F88" s="22" t="s">
        <v>653</v>
      </c>
      <c r="G88" s="22" t="s">
        <v>231</v>
      </c>
      <c r="H88" s="22">
        <v>86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x14ac:dyDescent="0.2">
      <c r="A89" s="13" t="s">
        <v>230</v>
      </c>
      <c r="B89" s="22" t="str">
        <f>rsl_list2!B41</f>
        <v>Magazine 1.jpg</v>
      </c>
      <c r="C89" s="22" t="str">
        <f>foils!I40</f>
        <v>87.mp4</v>
      </c>
      <c r="D89" s="22" t="s">
        <v>232</v>
      </c>
      <c r="E89" s="22" t="s">
        <v>232</v>
      </c>
      <c r="F89" s="22" t="s">
        <v>653</v>
      </c>
      <c r="G89" s="22" t="s">
        <v>231</v>
      </c>
      <c r="H89" s="22">
        <v>87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x14ac:dyDescent="0.2">
      <c r="A90" s="13" t="s">
        <v>230</v>
      </c>
      <c r="B90" s="22" t="str">
        <f>rsl_list2!B42</f>
        <v>Ring 1.jpg</v>
      </c>
      <c r="C90" s="22" t="str">
        <f>foils!I41</f>
        <v>88.mp4</v>
      </c>
      <c r="D90" s="22" t="s">
        <v>232</v>
      </c>
      <c r="E90" s="22" t="s">
        <v>232</v>
      </c>
      <c r="F90" s="22" t="s">
        <v>653</v>
      </c>
      <c r="G90" s="22" t="s">
        <v>231</v>
      </c>
      <c r="H90" s="22">
        <v>88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x14ac:dyDescent="0.2">
      <c r="A91" s="13" t="s">
        <v>230</v>
      </c>
      <c r="B91" s="22" t="str">
        <f>rsl_list2!B43</f>
        <v>Salt 1.jpg</v>
      </c>
      <c r="C91" s="22" t="str">
        <f>foils!I42</f>
        <v>89.mp4</v>
      </c>
      <c r="D91" s="22" t="s">
        <v>232</v>
      </c>
      <c r="E91" s="22" t="s">
        <v>232</v>
      </c>
      <c r="F91" s="22" t="s">
        <v>653</v>
      </c>
      <c r="G91" s="22" t="s">
        <v>231</v>
      </c>
      <c r="H91" s="22">
        <v>89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x14ac:dyDescent="0.2">
      <c r="A92" s="13" t="s">
        <v>230</v>
      </c>
      <c r="B92" s="22" t="str">
        <f>rsl_list2!B44</f>
        <v>Sneeze 1.jpg</v>
      </c>
      <c r="C92" s="22" t="str">
        <f>foils!I43</f>
        <v>90.mp4</v>
      </c>
      <c r="D92" s="22" t="s">
        <v>232</v>
      </c>
      <c r="E92" s="22" t="s">
        <v>232</v>
      </c>
      <c r="F92" s="22" t="s">
        <v>653</v>
      </c>
      <c r="G92" s="22" t="s">
        <v>231</v>
      </c>
      <c r="H92" s="22">
        <v>90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x14ac:dyDescent="0.2">
      <c r="A93" s="13" t="s">
        <v>230</v>
      </c>
      <c r="B93" s="22" t="str">
        <f>rsl_list2!B45</f>
        <v>Try 2.jpg</v>
      </c>
      <c r="C93" s="22" t="str">
        <f>foils!I44</f>
        <v>91.mp4</v>
      </c>
      <c r="D93" s="22" t="s">
        <v>232</v>
      </c>
      <c r="E93" s="22" t="s">
        <v>232</v>
      </c>
      <c r="F93" s="22" t="s">
        <v>653</v>
      </c>
      <c r="G93" s="22" t="s">
        <v>231</v>
      </c>
      <c r="H93" s="22">
        <v>91</v>
      </c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x14ac:dyDescent="0.2">
      <c r="A94" s="13" t="s">
        <v>230</v>
      </c>
      <c r="B94" s="22" t="str">
        <f>rsl_list2!B46</f>
        <v>Wait 2.jpg</v>
      </c>
      <c r="C94" s="22" t="str">
        <f>foils!I45</f>
        <v>92.mp4</v>
      </c>
      <c r="D94" s="22" t="s">
        <v>232</v>
      </c>
      <c r="E94" s="22" t="s">
        <v>232</v>
      </c>
      <c r="F94" s="22" t="s">
        <v>653</v>
      </c>
      <c r="G94" s="22" t="s">
        <v>231</v>
      </c>
      <c r="H94" s="22">
        <v>92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x14ac:dyDescent="0.2">
      <c r="A95" s="13" t="s">
        <v>230</v>
      </c>
      <c r="B95" s="22" t="str">
        <f>rsl_list2!B47</f>
        <v>Call 2.jpg</v>
      </c>
      <c r="C95" s="22" t="str">
        <f>foils!I46</f>
        <v>93.mp4</v>
      </c>
      <c r="D95" s="22" t="s">
        <v>232</v>
      </c>
      <c r="E95" s="22" t="s">
        <v>232</v>
      </c>
      <c r="F95" s="22" t="s">
        <v>653</v>
      </c>
      <c r="G95" s="22" t="s">
        <v>231</v>
      </c>
      <c r="H95" s="22">
        <v>93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x14ac:dyDescent="0.2">
      <c r="A96" s="13" t="s">
        <v>230</v>
      </c>
      <c r="B96" s="22" t="str">
        <f>rsl_list2!B48</f>
        <v>Choose 2.jpg</v>
      </c>
      <c r="C96" s="22" t="str">
        <f>foils!I47</f>
        <v>94.mp4</v>
      </c>
      <c r="D96" s="22" t="s">
        <v>232</v>
      </c>
      <c r="E96" s="22" t="s">
        <v>232</v>
      </c>
      <c r="F96" s="22" t="s">
        <v>653</v>
      </c>
      <c r="G96" s="22" t="s">
        <v>231</v>
      </c>
      <c r="H96" s="22">
        <v>94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x14ac:dyDescent="0.2">
      <c r="A97" s="13" t="s">
        <v>230</v>
      </c>
      <c r="B97" s="22" t="str">
        <f>rsl_list2!B49</f>
        <v>Show 2.jpg</v>
      </c>
      <c r="C97" s="22" t="str">
        <f>foils!I48</f>
        <v>95.mp4</v>
      </c>
      <c r="D97" s="22" t="s">
        <v>232</v>
      </c>
      <c r="E97" s="22" t="s">
        <v>232</v>
      </c>
      <c r="F97" s="22" t="s">
        <v>653</v>
      </c>
      <c r="G97" s="22" t="s">
        <v>231</v>
      </c>
      <c r="H97" s="22">
        <v>95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x14ac:dyDescent="0.2">
      <c r="A98" s="13" t="s">
        <v>230</v>
      </c>
      <c r="B98" s="22" t="str">
        <f>rsl_list2!B50</f>
        <v>Write 2.jpg</v>
      </c>
      <c r="C98" s="22" t="str">
        <f>foils!I49</f>
        <v>96.mp4</v>
      </c>
      <c r="D98" s="22" t="s">
        <v>232</v>
      </c>
      <c r="E98" s="22" t="s">
        <v>232</v>
      </c>
      <c r="F98" s="22" t="s">
        <v>653</v>
      </c>
      <c r="G98" s="22" t="s">
        <v>231</v>
      </c>
      <c r="H98" s="22">
        <v>96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x14ac:dyDescent="0.2">
      <c r="A99" s="22" t="s">
        <v>654</v>
      </c>
      <c r="B99" s="22"/>
      <c r="C99" s="22">
        <f>foils!F50</f>
        <v>0</v>
      </c>
      <c r="D99" s="22"/>
      <c r="E99" s="22"/>
      <c r="F99" s="22"/>
      <c r="G99" s="22"/>
      <c r="H99" s="22"/>
      <c r="I99" s="22"/>
      <c r="J99" s="22"/>
      <c r="K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spans="1:30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spans="1:30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spans="1:30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spans="1:30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spans="1:30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spans="1:30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spans="1:30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spans="1:30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spans="1:30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spans="1:30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spans="1:30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spans="1:30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spans="1:30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spans="1:30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spans="1:30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spans="1:30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spans="1:30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spans="1:30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spans="1:30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spans="1:30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spans="1:30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spans="1:30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spans="1:30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spans="1:30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spans="1:30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spans="1:30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spans="1:30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spans="1:30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spans="1:30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spans="1:30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spans="1:30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spans="1:30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spans="1:30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spans="1:30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spans="1:30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spans="1:30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spans="1:30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spans="1:30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spans="1:30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spans="1:30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spans="1:30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spans="1:30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spans="1:30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spans="1:30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spans="1:30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spans="1:30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spans="1:30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spans="1:30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spans="1:30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spans="1:30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spans="1:30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spans="1:30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spans="1:30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spans="1:30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spans="1:30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spans="1:30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spans="1:30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spans="1:30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spans="1:30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spans="1:30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spans="1:30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x14ac:dyDescent="0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x14ac:dyDescent="0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x14ac:dyDescent="0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x14ac:dyDescent="0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x14ac:dyDescent="0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x14ac:dyDescent="0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x14ac:dyDescent="0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x14ac:dyDescent="0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x14ac:dyDescent="0.2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1001"/>
  <sheetViews>
    <sheetView tabSelected="1" workbookViewId="0">
      <selection activeCell="O22" sqref="O22"/>
    </sheetView>
  </sheetViews>
  <sheetFormatPr defaultColWidth="12.5703125" defaultRowHeight="15.75" customHeight="1" x14ac:dyDescent="0.2"/>
  <sheetData>
    <row r="1" spans="1:30" x14ac:dyDescent="0.2">
      <c r="A1" s="2" t="s">
        <v>393</v>
      </c>
      <c r="B1" s="2" t="s">
        <v>643</v>
      </c>
      <c r="C1" s="27" t="s">
        <v>644</v>
      </c>
      <c r="D1" s="2" t="s">
        <v>645</v>
      </c>
      <c r="E1" s="2" t="s">
        <v>646</v>
      </c>
      <c r="F1" s="2" t="s">
        <v>397</v>
      </c>
      <c r="G1" s="2" t="s">
        <v>2</v>
      </c>
      <c r="H1" s="2" t="s">
        <v>647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">
      <c r="A2" s="22" t="s">
        <v>648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">
      <c r="A3" s="22" t="s">
        <v>38</v>
      </c>
      <c r="B3" s="22" t="str">
        <f t="shared" ref="B3:B50" si="0">IF(D3="same",CONCATENATE(PROPER(G3)," ","2.jpg"),IF(D3="different",CONCATENATE(PROPER(G3)," ","1.jpg")))</f>
        <v>Boy 1.jpg</v>
      </c>
      <c r="C3" s="22" t="str">
        <f>masterlist!J2</f>
        <v>27.mp4</v>
      </c>
      <c r="D3" s="22" t="s">
        <v>232</v>
      </c>
      <c r="E3" s="22" t="s">
        <v>649</v>
      </c>
      <c r="F3" s="22" t="s">
        <v>650</v>
      </c>
      <c r="G3" s="22" t="str">
        <f>masterlist!C2</f>
        <v>boy</v>
      </c>
      <c r="H3" s="22">
        <v>1</v>
      </c>
      <c r="I3" s="22" t="s">
        <v>651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">
      <c r="A4" s="22" t="s">
        <v>38</v>
      </c>
      <c r="B4" s="22" t="str">
        <f t="shared" si="0"/>
        <v>Children 1.jpg</v>
      </c>
      <c r="C4" s="22" t="str">
        <f>masterlist!J3</f>
        <v>28.mp4</v>
      </c>
      <c r="D4" s="22" t="s">
        <v>232</v>
      </c>
      <c r="E4" s="22" t="s">
        <v>649</v>
      </c>
      <c r="F4" s="22" t="s">
        <v>650</v>
      </c>
      <c r="G4" s="22" t="str">
        <f>masterlist!C3</f>
        <v>children</v>
      </c>
      <c r="H4" s="22">
        <v>2</v>
      </c>
      <c r="I4" s="22" t="s">
        <v>651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">
      <c r="A5" s="22" t="s">
        <v>38</v>
      </c>
      <c r="B5" s="22" t="str">
        <f t="shared" si="0"/>
        <v>Eagle 1.jpg</v>
      </c>
      <c r="C5" s="22" t="str">
        <f>masterlist!J4</f>
        <v>31.mp4</v>
      </c>
      <c r="D5" s="22" t="s">
        <v>232</v>
      </c>
      <c r="E5" s="22" t="s">
        <v>649</v>
      </c>
      <c r="F5" s="22" t="s">
        <v>650</v>
      </c>
      <c r="G5" s="22" t="str">
        <f>masterlist!C4</f>
        <v>eagle</v>
      </c>
      <c r="H5" s="22">
        <v>3</v>
      </c>
      <c r="I5" s="22" t="s">
        <v>651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">
      <c r="A6" s="22" t="s">
        <v>38</v>
      </c>
      <c r="B6" s="22" t="str">
        <f t="shared" si="0"/>
        <v>Family 1.jpg</v>
      </c>
      <c r="C6" s="22" t="str">
        <f>masterlist!J5</f>
        <v>32.mp4</v>
      </c>
      <c r="D6" s="22" t="s">
        <v>232</v>
      </c>
      <c r="E6" s="22" t="s">
        <v>649</v>
      </c>
      <c r="F6" s="22" t="s">
        <v>650</v>
      </c>
      <c r="G6" s="22" t="str">
        <f>masterlist!C5</f>
        <v>family</v>
      </c>
      <c r="H6" s="22">
        <v>4</v>
      </c>
      <c r="I6" s="22" t="s">
        <v>651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">
      <c r="A7" s="22" t="s">
        <v>38</v>
      </c>
      <c r="B7" s="22" t="str">
        <f t="shared" si="0"/>
        <v>Breathe 1.jpg</v>
      </c>
      <c r="C7" s="22" t="str">
        <f>masterlist!J6</f>
        <v>37.mp4</v>
      </c>
      <c r="D7" s="22" t="s">
        <v>232</v>
      </c>
      <c r="E7" s="22" t="s">
        <v>649</v>
      </c>
      <c r="F7" s="22" t="s">
        <v>650</v>
      </c>
      <c r="G7" s="22" t="str">
        <f>masterlist!C6</f>
        <v>breathe</v>
      </c>
      <c r="H7" s="22">
        <v>5</v>
      </c>
      <c r="I7" s="22" t="s">
        <v>651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">
      <c r="A8" s="22" t="s">
        <v>38</v>
      </c>
      <c r="B8" s="22" t="str">
        <f t="shared" si="0"/>
        <v>Cry 1.jpg</v>
      </c>
      <c r="C8" s="22" t="str">
        <f>masterlist!J7</f>
        <v>38.mp4</v>
      </c>
      <c r="D8" s="22" t="s">
        <v>232</v>
      </c>
      <c r="E8" s="22" t="s">
        <v>649</v>
      </c>
      <c r="F8" s="22" t="s">
        <v>650</v>
      </c>
      <c r="G8" s="22" t="str">
        <f>masterlist!C7</f>
        <v>cry</v>
      </c>
      <c r="H8" s="22">
        <v>6</v>
      </c>
      <c r="I8" s="22" t="s">
        <v>651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">
      <c r="A9" s="22" t="s">
        <v>38</v>
      </c>
      <c r="B9" s="22" t="str">
        <f t="shared" si="0"/>
        <v>Run 2.jpg</v>
      </c>
      <c r="C9" s="22" t="str">
        <f>masterlist!J8</f>
        <v>43.mp4</v>
      </c>
      <c r="D9" s="22" t="s">
        <v>649</v>
      </c>
      <c r="E9" s="22" t="s">
        <v>649</v>
      </c>
      <c r="F9" s="22" t="s">
        <v>650</v>
      </c>
      <c r="G9" s="22" t="str">
        <f>masterlist!C8</f>
        <v>run</v>
      </c>
      <c r="H9" s="22">
        <v>7</v>
      </c>
      <c r="I9" s="22" t="s">
        <v>651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">
      <c r="A10" s="22" t="s">
        <v>38</v>
      </c>
      <c r="B10" s="22" t="str">
        <f t="shared" si="0"/>
        <v>Sing 2.jpg</v>
      </c>
      <c r="C10" s="22" t="str">
        <f>masterlist!J9</f>
        <v>44.mp4</v>
      </c>
      <c r="D10" s="22" t="s">
        <v>649</v>
      </c>
      <c r="E10" s="22" t="s">
        <v>649</v>
      </c>
      <c r="F10" s="22" t="s">
        <v>650</v>
      </c>
      <c r="G10" s="22" t="str">
        <f>masterlist!C9</f>
        <v>sing</v>
      </c>
      <c r="H10" s="22">
        <v>8</v>
      </c>
      <c r="I10" s="22" t="s">
        <v>651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">
      <c r="A11" s="22" t="s">
        <v>38</v>
      </c>
      <c r="B11" s="22" t="str">
        <f t="shared" si="0"/>
        <v>Think 2.jpg</v>
      </c>
      <c r="C11" s="22" t="str">
        <f>masterlist!J10</f>
        <v>46.mp4</v>
      </c>
      <c r="D11" s="22" t="s">
        <v>649</v>
      </c>
      <c r="E11" s="22" t="s">
        <v>649</v>
      </c>
      <c r="F11" s="22" t="s">
        <v>650</v>
      </c>
      <c r="G11" s="22" t="str">
        <f>masterlist!C10</f>
        <v>think</v>
      </c>
      <c r="H11" s="22">
        <v>9</v>
      </c>
      <c r="I11" s="22" t="s">
        <v>651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">
      <c r="A12" s="22" t="s">
        <v>38</v>
      </c>
      <c r="B12" s="22" t="str">
        <f t="shared" si="0"/>
        <v>Paint 2.jpg</v>
      </c>
      <c r="C12" s="22" t="str">
        <f>masterlist!J11</f>
        <v>42.mp4</v>
      </c>
      <c r="D12" s="22" t="s">
        <v>649</v>
      </c>
      <c r="E12" s="22" t="s">
        <v>649</v>
      </c>
      <c r="F12" s="22" t="s">
        <v>650</v>
      </c>
      <c r="G12" s="22" t="str">
        <f>masterlist!C11</f>
        <v>paint</v>
      </c>
      <c r="H12" s="22">
        <v>10</v>
      </c>
      <c r="I12" s="22" t="s">
        <v>651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">
      <c r="A13" s="22" t="s">
        <v>38</v>
      </c>
      <c r="B13" s="22" t="str">
        <f t="shared" si="0"/>
        <v>Watch 2.jpg</v>
      </c>
      <c r="C13" s="22" t="str">
        <f>masterlist!J12</f>
        <v>47.mp4</v>
      </c>
      <c r="D13" s="22" t="s">
        <v>649</v>
      </c>
      <c r="E13" s="22" t="s">
        <v>649</v>
      </c>
      <c r="F13" s="22" t="s">
        <v>650</v>
      </c>
      <c r="G13" s="22" t="str">
        <f>masterlist!C12</f>
        <v>watch</v>
      </c>
      <c r="H13" s="22">
        <v>11</v>
      </c>
      <c r="I13" s="22" t="s">
        <v>651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">
      <c r="A14" s="22" t="s">
        <v>38</v>
      </c>
      <c r="B14" s="22" t="str">
        <f t="shared" si="0"/>
        <v>Write 2.jpg</v>
      </c>
      <c r="C14" s="22" t="str">
        <f>masterlist!J13</f>
        <v>48.mp4</v>
      </c>
      <c r="D14" s="22" t="s">
        <v>649</v>
      </c>
      <c r="E14" s="22" t="s">
        <v>649</v>
      </c>
      <c r="F14" s="22" t="s">
        <v>650</v>
      </c>
      <c r="G14" s="22" t="str">
        <f>masterlist!C13</f>
        <v>write</v>
      </c>
      <c r="H14" s="22">
        <v>12</v>
      </c>
      <c r="I14" s="22" t="s">
        <v>651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">
      <c r="A15" s="22" t="s">
        <v>38</v>
      </c>
      <c r="B15" s="22" t="str">
        <f t="shared" si="0"/>
        <v>Beauty 1.jpg</v>
      </c>
      <c r="C15" s="22" t="str">
        <f>masterlist!J14</f>
        <v>25.mp4</v>
      </c>
      <c r="D15" s="22" t="s">
        <v>232</v>
      </c>
      <c r="E15" s="22" t="s">
        <v>649</v>
      </c>
      <c r="F15" s="22" t="s">
        <v>650</v>
      </c>
      <c r="G15" s="22" t="str">
        <f>masterlist!C14</f>
        <v>beauty</v>
      </c>
      <c r="H15" s="22">
        <v>13</v>
      </c>
      <c r="I15" s="22" t="s">
        <v>651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">
      <c r="A16" s="22" t="s">
        <v>38</v>
      </c>
      <c r="B16" s="22" t="str">
        <f t="shared" si="0"/>
        <v>Change 1.jpg</v>
      </c>
      <c r="C16" s="22" t="str">
        <f>masterlist!J15</f>
        <v>34.mp4</v>
      </c>
      <c r="D16" s="22" t="s">
        <v>232</v>
      </c>
      <c r="E16" s="22" t="s">
        <v>649</v>
      </c>
      <c r="F16" s="22" t="s">
        <v>650</v>
      </c>
      <c r="G16" s="22" t="str">
        <f>masterlist!C15</f>
        <v>change</v>
      </c>
      <c r="H16" s="22">
        <v>14</v>
      </c>
      <c r="I16" s="22" t="s">
        <v>651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">
      <c r="A17" s="22" t="s">
        <v>38</v>
      </c>
      <c r="B17" s="22" t="str">
        <f t="shared" si="0"/>
        <v>Book 1.jpg</v>
      </c>
      <c r="C17" s="22" t="str">
        <f>masterlist!J16</f>
        <v>26.mp4</v>
      </c>
      <c r="D17" s="22" t="s">
        <v>232</v>
      </c>
      <c r="E17" s="22" t="s">
        <v>649</v>
      </c>
      <c r="F17" s="22" t="s">
        <v>650</v>
      </c>
      <c r="G17" s="22" t="str">
        <f>masterlist!C16</f>
        <v>book</v>
      </c>
      <c r="H17" s="22">
        <v>15</v>
      </c>
      <c r="I17" s="22" t="s">
        <v>651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">
      <c r="A18" s="22" t="s">
        <v>38</v>
      </c>
      <c r="B18" s="22" t="str">
        <f t="shared" si="0"/>
        <v>Coffee 1.jpg</v>
      </c>
      <c r="C18" s="22" t="str">
        <f>masterlist!J17</f>
        <v>29.mp4</v>
      </c>
      <c r="D18" s="22" t="s">
        <v>232</v>
      </c>
      <c r="E18" s="22" t="s">
        <v>649</v>
      </c>
      <c r="F18" s="22" t="s">
        <v>650</v>
      </c>
      <c r="G18" s="22" t="str">
        <f>masterlist!C17</f>
        <v>coffee</v>
      </c>
      <c r="H18" s="22">
        <v>16</v>
      </c>
      <c r="I18" s="22" t="s">
        <v>651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">
      <c r="A19" s="22" t="s">
        <v>38</v>
      </c>
      <c r="B19" s="22" t="str">
        <f t="shared" si="0"/>
        <v>Cigar 1.jpg</v>
      </c>
      <c r="C19" s="22" t="str">
        <f>masterlist!J18</f>
        <v>30.mp4</v>
      </c>
      <c r="D19" s="22" t="s">
        <v>232</v>
      </c>
      <c r="E19" s="22" t="s">
        <v>649</v>
      </c>
      <c r="F19" s="22" t="s">
        <v>650</v>
      </c>
      <c r="G19" s="22" t="str">
        <f>masterlist!C18</f>
        <v>cigar</v>
      </c>
      <c r="H19" s="22">
        <v>17</v>
      </c>
      <c r="I19" s="22" t="s">
        <v>651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">
      <c r="A20" s="22" t="s">
        <v>38</v>
      </c>
      <c r="B20" s="22" t="str">
        <f t="shared" si="0"/>
        <v>Flower 1.jpg</v>
      </c>
      <c r="C20" s="22" t="str">
        <f>masterlist!J19</f>
        <v>33.mp4</v>
      </c>
      <c r="D20" s="22" t="s">
        <v>232</v>
      </c>
      <c r="E20" s="22" t="s">
        <v>649</v>
      </c>
      <c r="F20" s="22" t="s">
        <v>650</v>
      </c>
      <c r="G20" s="22" t="str">
        <f>masterlist!C19</f>
        <v>flower</v>
      </c>
      <c r="H20" s="22">
        <v>18</v>
      </c>
      <c r="I20" s="22" t="s">
        <v>651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">
      <c r="A21" s="22" t="s">
        <v>38</v>
      </c>
      <c r="B21" s="22" t="str">
        <f t="shared" si="0"/>
        <v>Metal 2.jpg</v>
      </c>
      <c r="C21" s="22" t="str">
        <f>masterlist!J20</f>
        <v>35.mp4</v>
      </c>
      <c r="D21" s="22" t="s">
        <v>649</v>
      </c>
      <c r="E21" s="22" t="s">
        <v>649</v>
      </c>
      <c r="F21" s="22" t="s">
        <v>650</v>
      </c>
      <c r="G21" s="22" t="str">
        <f>masterlist!C20</f>
        <v>metal</v>
      </c>
      <c r="H21" s="22">
        <v>19</v>
      </c>
      <c r="I21" s="22" t="s">
        <v>651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">
      <c r="A22" s="22" t="s">
        <v>38</v>
      </c>
      <c r="B22" s="22" t="str">
        <f t="shared" si="0"/>
        <v>Telephone 2.jpg</v>
      </c>
      <c r="C22" s="22" t="str">
        <f>masterlist!J21</f>
        <v>36.mp4</v>
      </c>
      <c r="D22" s="22" t="s">
        <v>649</v>
      </c>
      <c r="E22" s="22" t="s">
        <v>649</v>
      </c>
      <c r="F22" s="22" t="s">
        <v>650</v>
      </c>
      <c r="G22" s="22" t="str">
        <f>masterlist!C21</f>
        <v>telephone</v>
      </c>
      <c r="H22" s="22">
        <v>20</v>
      </c>
      <c r="I22" s="22" t="s">
        <v>651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">
      <c r="A23" s="22" t="s">
        <v>38</v>
      </c>
      <c r="B23" s="22" t="str">
        <f t="shared" si="0"/>
        <v>Jump 2.jpg</v>
      </c>
      <c r="C23" s="22" t="str">
        <f>masterlist!J22</f>
        <v>39.mp4</v>
      </c>
      <c r="D23" s="22" t="s">
        <v>649</v>
      </c>
      <c r="E23" s="22" t="s">
        <v>649</v>
      </c>
      <c r="F23" s="22" t="s">
        <v>650</v>
      </c>
      <c r="G23" s="22" t="str">
        <f>masterlist!C22</f>
        <v>jump</v>
      </c>
      <c r="H23" s="22">
        <v>21</v>
      </c>
      <c r="I23" s="22" t="s">
        <v>651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">
      <c r="A24" s="22" t="s">
        <v>38</v>
      </c>
      <c r="B24" s="22" t="str">
        <f t="shared" si="0"/>
        <v>Leave 2.jpg</v>
      </c>
      <c r="C24" s="22" t="str">
        <f>masterlist!J23</f>
        <v>40.mp4</v>
      </c>
      <c r="D24" s="22" t="s">
        <v>649</v>
      </c>
      <c r="E24" s="22" t="s">
        <v>649</v>
      </c>
      <c r="F24" s="22" t="s">
        <v>650</v>
      </c>
      <c r="G24" s="22" t="str">
        <f>masterlist!C23</f>
        <v>leave</v>
      </c>
      <c r="H24" s="22">
        <v>22</v>
      </c>
      <c r="I24" s="22" t="s">
        <v>651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">
      <c r="A25" s="22" t="s">
        <v>38</v>
      </c>
      <c r="B25" s="22" t="str">
        <f t="shared" si="0"/>
        <v>Lose 2.jpg</v>
      </c>
      <c r="C25" s="22" t="str">
        <f>masterlist!J24</f>
        <v>41.mp4</v>
      </c>
      <c r="D25" s="22" t="s">
        <v>649</v>
      </c>
      <c r="E25" s="22" t="s">
        <v>649</v>
      </c>
      <c r="F25" s="22" t="s">
        <v>650</v>
      </c>
      <c r="G25" s="22" t="str">
        <f>masterlist!C24</f>
        <v>lose</v>
      </c>
      <c r="H25" s="22">
        <v>23</v>
      </c>
      <c r="I25" s="22" t="s">
        <v>651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">
      <c r="A26" s="22" t="s">
        <v>38</v>
      </c>
      <c r="B26" s="22" t="str">
        <f t="shared" si="0"/>
        <v>Take 2.jpg</v>
      </c>
      <c r="C26" s="22" t="str">
        <f>masterlist!J25</f>
        <v>45.mp4</v>
      </c>
      <c r="D26" s="22" t="s">
        <v>649</v>
      </c>
      <c r="E26" s="22" t="s">
        <v>649</v>
      </c>
      <c r="F26" s="22" t="s">
        <v>650</v>
      </c>
      <c r="G26" s="22" t="str">
        <f>masterlist!C25</f>
        <v>take</v>
      </c>
      <c r="H26" s="22">
        <v>24</v>
      </c>
      <c r="I26" s="22" t="s">
        <v>651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">
      <c r="A27" s="22" t="s">
        <v>38</v>
      </c>
      <c r="B27" s="22" t="str">
        <f t="shared" si="0"/>
        <v>Frog 1.jpg</v>
      </c>
      <c r="C27" s="22" t="str">
        <f>masterlist!J26</f>
        <v>6.mp4</v>
      </c>
      <c r="D27" s="22" t="s">
        <v>232</v>
      </c>
      <c r="E27" s="22" t="s">
        <v>649</v>
      </c>
      <c r="F27" s="22" t="s">
        <v>650</v>
      </c>
      <c r="G27" s="22" t="str">
        <f>masterlist!C26</f>
        <v>frog</v>
      </c>
      <c r="H27" s="22">
        <v>25</v>
      </c>
      <c r="I27" s="22" t="s">
        <v>652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">
      <c r="A28" s="22" t="s">
        <v>38</v>
      </c>
      <c r="B28" s="22" t="str">
        <f t="shared" si="0"/>
        <v>Gorilla 1.jpg</v>
      </c>
      <c r="C28" s="22" t="str">
        <f>masterlist!J27</f>
        <v>7.mp4</v>
      </c>
      <c r="D28" s="22" t="s">
        <v>232</v>
      </c>
      <c r="E28" s="22" t="s">
        <v>649</v>
      </c>
      <c r="F28" s="22" t="s">
        <v>650</v>
      </c>
      <c r="G28" s="22" t="str">
        <f>masterlist!C27</f>
        <v>gorilla</v>
      </c>
      <c r="H28" s="22">
        <v>26</v>
      </c>
      <c r="I28" s="22" t="s">
        <v>652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">
      <c r="A29" s="22" t="s">
        <v>38</v>
      </c>
      <c r="B29" s="22" t="str">
        <f t="shared" si="0"/>
        <v>Come 1.jpg</v>
      </c>
      <c r="C29" s="22" t="str">
        <f>masterlist!J28</f>
        <v>14.mp4</v>
      </c>
      <c r="D29" s="22" t="s">
        <v>232</v>
      </c>
      <c r="E29" s="22" t="s">
        <v>649</v>
      </c>
      <c r="F29" s="22" t="s">
        <v>650</v>
      </c>
      <c r="G29" s="22" t="str">
        <f>masterlist!C28</f>
        <v>come</v>
      </c>
      <c r="H29" s="22">
        <v>27</v>
      </c>
      <c r="I29" s="22" t="s">
        <v>652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">
      <c r="A30" s="22" t="s">
        <v>38</v>
      </c>
      <c r="B30" s="22" t="str">
        <f t="shared" si="0"/>
        <v>Sail 1.jpg</v>
      </c>
      <c r="C30" s="22" t="str">
        <f>masterlist!J29</f>
        <v>18.mp4</v>
      </c>
      <c r="D30" s="22" t="s">
        <v>232</v>
      </c>
      <c r="E30" s="22" t="s">
        <v>649</v>
      </c>
      <c r="F30" s="22" t="s">
        <v>650</v>
      </c>
      <c r="G30" s="22" t="str">
        <f>masterlist!C29</f>
        <v>sail</v>
      </c>
      <c r="H30" s="22">
        <v>28</v>
      </c>
      <c r="I30" s="22" t="s">
        <v>652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">
      <c r="A31" s="22" t="s">
        <v>38</v>
      </c>
      <c r="B31" s="22" t="str">
        <f t="shared" si="0"/>
        <v>Travel 1.jpg</v>
      </c>
      <c r="C31" s="22" t="str">
        <f>masterlist!J30</f>
        <v>21.mp4</v>
      </c>
      <c r="D31" s="22" t="s">
        <v>232</v>
      </c>
      <c r="E31" s="22" t="s">
        <v>649</v>
      </c>
      <c r="F31" s="22" t="s">
        <v>650</v>
      </c>
      <c r="G31" s="22" t="str">
        <f>masterlist!C30</f>
        <v>travel</v>
      </c>
      <c r="H31" s="22">
        <v>29</v>
      </c>
      <c r="I31" s="22" t="s">
        <v>652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">
      <c r="A32" s="22" t="s">
        <v>38</v>
      </c>
      <c r="B32" s="22" t="str">
        <f t="shared" si="0"/>
        <v>Doubt 1.jpg</v>
      </c>
      <c r="C32" s="22" t="str">
        <f>masterlist!J31</f>
        <v>15.mp4</v>
      </c>
      <c r="D32" s="22" t="s">
        <v>232</v>
      </c>
      <c r="E32" s="22" t="s">
        <v>649</v>
      </c>
      <c r="F32" s="22" t="s">
        <v>650</v>
      </c>
      <c r="G32" s="22" t="str">
        <f>masterlist!C31</f>
        <v>doubt</v>
      </c>
      <c r="H32" s="22">
        <v>30</v>
      </c>
      <c r="I32" s="22" t="s">
        <v>652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">
      <c r="A33" s="22" t="s">
        <v>38</v>
      </c>
      <c r="B33" s="22" t="str">
        <f t="shared" si="0"/>
        <v>Play 2.jpg</v>
      </c>
      <c r="C33" s="22" t="str">
        <f>masterlist!J32</f>
        <v>16.mp4</v>
      </c>
      <c r="D33" s="22" t="s">
        <v>649</v>
      </c>
      <c r="E33" s="22" t="s">
        <v>649</v>
      </c>
      <c r="F33" s="22" t="s">
        <v>650</v>
      </c>
      <c r="G33" s="22" t="str">
        <f>masterlist!C32</f>
        <v>play</v>
      </c>
      <c r="H33" s="22">
        <v>31</v>
      </c>
      <c r="I33" s="22" t="s">
        <v>652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">
      <c r="A34" s="22" t="s">
        <v>38</v>
      </c>
      <c r="B34" s="22" t="str">
        <f t="shared" si="0"/>
        <v>Engagement 2.jpg</v>
      </c>
      <c r="C34" s="22" t="str">
        <f>masterlist!J33</f>
        <v>2.mp4</v>
      </c>
      <c r="D34" s="22" t="s">
        <v>649</v>
      </c>
      <c r="E34" s="22" t="s">
        <v>649</v>
      </c>
      <c r="F34" s="22" t="s">
        <v>650</v>
      </c>
      <c r="G34" s="22" t="str">
        <f>masterlist!C33</f>
        <v>engagement</v>
      </c>
      <c r="H34" s="22">
        <v>32</v>
      </c>
      <c r="I34" s="22" t="s">
        <v>652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">
      <c r="A35" s="22" t="s">
        <v>38</v>
      </c>
      <c r="B35" s="22" t="str">
        <f t="shared" si="0"/>
        <v>Color 2.jpg</v>
      </c>
      <c r="C35" s="22" t="str">
        <f>masterlist!J34</f>
        <v>3.mp4</v>
      </c>
      <c r="D35" s="22" t="s">
        <v>649</v>
      </c>
      <c r="E35" s="22" t="s">
        <v>649</v>
      </c>
      <c r="F35" s="22" t="s">
        <v>650</v>
      </c>
      <c r="G35" s="22" t="str">
        <f>masterlist!C34</f>
        <v>color</v>
      </c>
      <c r="H35" s="22">
        <v>33</v>
      </c>
      <c r="I35" s="22" t="s">
        <v>652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">
      <c r="A36" s="22" t="s">
        <v>38</v>
      </c>
      <c r="B36" s="22" t="str">
        <f t="shared" si="0"/>
        <v>East 2.jpg</v>
      </c>
      <c r="C36" s="22" t="str">
        <f>masterlist!J35</f>
        <v>5.mp4</v>
      </c>
      <c r="D36" s="22" t="s">
        <v>649</v>
      </c>
      <c r="E36" s="22" t="s">
        <v>649</v>
      </c>
      <c r="F36" s="22" t="s">
        <v>650</v>
      </c>
      <c r="G36" s="22" t="str">
        <f>masterlist!C35</f>
        <v>east</v>
      </c>
      <c r="H36" s="22">
        <v>34</v>
      </c>
      <c r="I36" s="22" t="s">
        <v>652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">
      <c r="A37" s="22" t="s">
        <v>38</v>
      </c>
      <c r="B37" s="22" t="str">
        <f t="shared" si="0"/>
        <v>School 2.jpg</v>
      </c>
      <c r="C37" s="22" t="str">
        <f>masterlist!J36</f>
        <v>11.mp4</v>
      </c>
      <c r="D37" s="22" t="s">
        <v>649</v>
      </c>
      <c r="E37" s="22" t="s">
        <v>649</v>
      </c>
      <c r="F37" s="22" t="s">
        <v>650</v>
      </c>
      <c r="G37" s="22" t="str">
        <f>masterlist!C36</f>
        <v>school</v>
      </c>
      <c r="H37" s="22">
        <v>35</v>
      </c>
      <c r="I37" s="22" t="s">
        <v>652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">
      <c r="A38" s="22" t="s">
        <v>38</v>
      </c>
      <c r="B38" s="22" t="str">
        <f t="shared" si="0"/>
        <v>Pain 2.jpg</v>
      </c>
      <c r="C38" s="22" t="str">
        <f>masterlist!J37</f>
        <v>12.mp4</v>
      </c>
      <c r="D38" s="22" t="s">
        <v>649</v>
      </c>
      <c r="E38" s="22" t="s">
        <v>649</v>
      </c>
      <c r="F38" s="22" t="s">
        <v>650</v>
      </c>
      <c r="G38" s="22" t="str">
        <f>masterlist!C37</f>
        <v>pain</v>
      </c>
      <c r="H38" s="22">
        <v>36</v>
      </c>
      <c r="I38" s="22" t="s">
        <v>652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">
      <c r="A39" s="22" t="s">
        <v>38</v>
      </c>
      <c r="B39" s="22" t="str">
        <f t="shared" si="0"/>
        <v>Cabbage 1.jpg</v>
      </c>
      <c r="C39" s="22" t="str">
        <f>masterlist!J38</f>
        <v>1.mp4</v>
      </c>
      <c r="D39" s="22" t="s">
        <v>232</v>
      </c>
      <c r="E39" s="22" t="s">
        <v>649</v>
      </c>
      <c r="F39" s="22" t="s">
        <v>650</v>
      </c>
      <c r="G39" s="22" t="str">
        <f>masterlist!C38</f>
        <v>cabbage</v>
      </c>
      <c r="H39" s="22">
        <v>37</v>
      </c>
      <c r="I39" s="22" t="s">
        <v>652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">
      <c r="A40" s="22" t="s">
        <v>38</v>
      </c>
      <c r="B40" s="22" t="str">
        <f t="shared" si="0"/>
        <v>Doll 1.jpg</v>
      </c>
      <c r="C40" s="22" t="str">
        <f>masterlist!J39</f>
        <v>4.mp4</v>
      </c>
      <c r="D40" s="22" t="s">
        <v>232</v>
      </c>
      <c r="E40" s="22" t="s">
        <v>649</v>
      </c>
      <c r="F40" s="22" t="s">
        <v>650</v>
      </c>
      <c r="G40" s="22" t="str">
        <f>masterlist!C39</f>
        <v>doll</v>
      </c>
      <c r="H40" s="22">
        <v>38</v>
      </c>
      <c r="I40" s="22" t="s">
        <v>652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">
      <c r="A41" s="22" t="s">
        <v>38</v>
      </c>
      <c r="B41" s="22" t="str">
        <f t="shared" si="0"/>
        <v>Magazine 1.jpg</v>
      </c>
      <c r="C41" s="22" t="str">
        <f>masterlist!J40</f>
        <v>8.mp4</v>
      </c>
      <c r="D41" s="22" t="s">
        <v>232</v>
      </c>
      <c r="E41" s="22" t="s">
        <v>649</v>
      </c>
      <c r="F41" s="22" t="s">
        <v>650</v>
      </c>
      <c r="G41" s="22" t="str">
        <f>masterlist!C40</f>
        <v>magazine</v>
      </c>
      <c r="H41" s="22">
        <v>39</v>
      </c>
      <c r="I41" s="22" t="s">
        <v>652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">
      <c r="A42" s="22" t="s">
        <v>38</v>
      </c>
      <c r="B42" s="22" t="str">
        <f t="shared" si="0"/>
        <v>Ring 1.jpg</v>
      </c>
      <c r="C42" s="22" t="str">
        <f>masterlist!J41</f>
        <v>9.mp4</v>
      </c>
      <c r="D42" s="22" t="s">
        <v>232</v>
      </c>
      <c r="E42" s="22" t="s">
        <v>649</v>
      </c>
      <c r="F42" s="22" t="s">
        <v>650</v>
      </c>
      <c r="G42" s="22" t="str">
        <f>masterlist!C41</f>
        <v>ring</v>
      </c>
      <c r="H42" s="22">
        <v>40</v>
      </c>
      <c r="I42" s="22" t="s">
        <v>652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">
      <c r="A43" s="22" t="s">
        <v>38</v>
      </c>
      <c r="B43" s="22" t="str">
        <f t="shared" si="0"/>
        <v>Salt 1.jpg</v>
      </c>
      <c r="C43" s="22" t="str">
        <f>masterlist!J42</f>
        <v>10.mp4</v>
      </c>
      <c r="D43" s="22" t="s">
        <v>232</v>
      </c>
      <c r="E43" s="22" t="s">
        <v>649</v>
      </c>
      <c r="F43" s="22" t="s">
        <v>650</v>
      </c>
      <c r="G43" s="22" t="str">
        <f>masterlist!C42</f>
        <v>salt</v>
      </c>
      <c r="H43" s="22">
        <v>41</v>
      </c>
      <c r="I43" s="22" t="s">
        <v>652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">
      <c r="A44" s="22" t="s">
        <v>38</v>
      </c>
      <c r="B44" s="22" t="str">
        <f t="shared" si="0"/>
        <v>Sneeze 1.jpg</v>
      </c>
      <c r="C44" s="22" t="str">
        <f>masterlist!J43</f>
        <v>20.mp4</v>
      </c>
      <c r="D44" s="22" t="s">
        <v>232</v>
      </c>
      <c r="E44" s="22" t="s">
        <v>649</v>
      </c>
      <c r="F44" s="22" t="s">
        <v>650</v>
      </c>
      <c r="G44" s="22" t="str">
        <f>masterlist!C43</f>
        <v>sneeze</v>
      </c>
      <c r="H44" s="22">
        <v>42</v>
      </c>
      <c r="I44" s="22" t="s">
        <v>652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">
      <c r="A45" s="22" t="s">
        <v>38</v>
      </c>
      <c r="B45" s="22" t="str">
        <f t="shared" si="0"/>
        <v>Try 2.jpg</v>
      </c>
      <c r="C45" s="22" t="str">
        <f>masterlist!J44</f>
        <v>22.mp4</v>
      </c>
      <c r="D45" s="22" t="s">
        <v>649</v>
      </c>
      <c r="E45" s="22" t="s">
        <v>649</v>
      </c>
      <c r="F45" s="22" t="s">
        <v>650</v>
      </c>
      <c r="G45" s="22" t="str">
        <f>masterlist!C44</f>
        <v>try</v>
      </c>
      <c r="H45" s="22">
        <v>43</v>
      </c>
      <c r="I45" s="22" t="s">
        <v>652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">
      <c r="A46" s="22" t="s">
        <v>38</v>
      </c>
      <c r="B46" s="22" t="str">
        <f t="shared" si="0"/>
        <v>Wait 2.jpg</v>
      </c>
      <c r="C46" s="22" t="str">
        <f>masterlist!J45</f>
        <v>23.mp4</v>
      </c>
      <c r="D46" s="22" t="s">
        <v>649</v>
      </c>
      <c r="E46" s="22" t="s">
        <v>649</v>
      </c>
      <c r="F46" s="22" t="s">
        <v>650</v>
      </c>
      <c r="G46" s="22" t="str">
        <f>masterlist!C45</f>
        <v>wait</v>
      </c>
      <c r="H46" s="22">
        <v>44</v>
      </c>
      <c r="I46" s="22" t="s">
        <v>652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">
      <c r="A47" s="22" t="s">
        <v>38</v>
      </c>
      <c r="B47" s="22" t="str">
        <f t="shared" si="0"/>
        <v>Call 2.jpg</v>
      </c>
      <c r="C47" s="22" t="str">
        <f>masterlist!J46</f>
        <v>13.mp4</v>
      </c>
      <c r="D47" s="22" t="s">
        <v>649</v>
      </c>
      <c r="E47" s="22" t="s">
        <v>649</v>
      </c>
      <c r="F47" s="22" t="s">
        <v>650</v>
      </c>
      <c r="G47" s="22" t="str">
        <f>masterlist!C46</f>
        <v>call</v>
      </c>
      <c r="H47" s="22">
        <v>45</v>
      </c>
      <c r="I47" s="22" t="s">
        <v>652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">
      <c r="A48" s="22" t="s">
        <v>38</v>
      </c>
      <c r="B48" s="22" t="str">
        <f t="shared" si="0"/>
        <v>Choose 2.jpg</v>
      </c>
      <c r="C48" s="22" t="str">
        <f>masterlist!J47</f>
        <v>17.mp4</v>
      </c>
      <c r="D48" s="22" t="s">
        <v>649</v>
      </c>
      <c r="E48" s="22" t="s">
        <v>649</v>
      </c>
      <c r="F48" s="22" t="s">
        <v>650</v>
      </c>
      <c r="G48" s="22" t="str">
        <f>masterlist!C47</f>
        <v>choose</v>
      </c>
      <c r="H48" s="22">
        <v>46</v>
      </c>
      <c r="I48" s="22" t="s">
        <v>652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">
      <c r="A49" s="22" t="s">
        <v>38</v>
      </c>
      <c r="B49" s="22" t="str">
        <f t="shared" si="0"/>
        <v>Show 2.jpg</v>
      </c>
      <c r="C49" s="22" t="str">
        <f>masterlist!J48</f>
        <v>19.mp4</v>
      </c>
      <c r="D49" s="22" t="s">
        <v>649</v>
      </c>
      <c r="E49" s="22" t="s">
        <v>649</v>
      </c>
      <c r="F49" s="22" t="s">
        <v>650</v>
      </c>
      <c r="G49" s="22" t="str">
        <f>masterlist!C48</f>
        <v>show</v>
      </c>
      <c r="H49" s="22">
        <v>47</v>
      </c>
      <c r="I49" s="22" t="s">
        <v>652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">
      <c r="A50" s="22" t="s">
        <v>38</v>
      </c>
      <c r="B50" s="22" t="str">
        <f t="shared" si="0"/>
        <v>Write 2.jpg</v>
      </c>
      <c r="C50" s="22" t="str">
        <f>masterlist!J49</f>
        <v>24.mp4</v>
      </c>
      <c r="D50" s="22" t="s">
        <v>649</v>
      </c>
      <c r="E50" s="22" t="s">
        <v>649</v>
      </c>
      <c r="F50" s="22" t="s">
        <v>650</v>
      </c>
      <c r="G50" s="22" t="s">
        <v>124</v>
      </c>
      <c r="H50" s="22">
        <v>48</v>
      </c>
      <c r="I50" s="22" t="s">
        <v>652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x14ac:dyDescent="0.2">
      <c r="A51" s="22" t="s">
        <v>230</v>
      </c>
      <c r="B51" s="22" t="str">
        <f>rsl_list1!B3</f>
        <v>Boy 2.jpg</v>
      </c>
      <c r="C51" s="22" t="str">
        <f>foils!I2</f>
        <v>49.mp4</v>
      </c>
      <c r="D51" s="22" t="s">
        <v>232</v>
      </c>
      <c r="E51" s="22" t="s">
        <v>232</v>
      </c>
      <c r="F51" s="22" t="s">
        <v>653</v>
      </c>
      <c r="G51" s="22" t="s">
        <v>231</v>
      </c>
      <c r="H51" s="22">
        <v>49</v>
      </c>
      <c r="I51" s="22" t="s">
        <v>652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x14ac:dyDescent="0.2">
      <c r="A52" s="22" t="s">
        <v>230</v>
      </c>
      <c r="B52" s="22" t="str">
        <f>rsl_list1!B4</f>
        <v>Children 2.jpg</v>
      </c>
      <c r="C52" s="22" t="str">
        <f>foils!I3</f>
        <v>50.mp4</v>
      </c>
      <c r="D52" s="22" t="s">
        <v>232</v>
      </c>
      <c r="E52" s="22" t="s">
        <v>232</v>
      </c>
      <c r="F52" s="22" t="s">
        <v>653</v>
      </c>
      <c r="G52" s="22" t="s">
        <v>231</v>
      </c>
      <c r="H52" s="22">
        <v>50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x14ac:dyDescent="0.2">
      <c r="A53" s="22" t="s">
        <v>230</v>
      </c>
      <c r="B53" s="22" t="str">
        <f>rsl_list1!B5</f>
        <v>Eagle 2.jpg</v>
      </c>
      <c r="C53" s="22" t="str">
        <f>foils!I4</f>
        <v>51.mp4</v>
      </c>
      <c r="D53" s="22" t="s">
        <v>232</v>
      </c>
      <c r="E53" s="22" t="s">
        <v>232</v>
      </c>
      <c r="F53" s="22" t="s">
        <v>653</v>
      </c>
      <c r="G53" s="22" t="s">
        <v>231</v>
      </c>
      <c r="H53" s="22">
        <v>51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x14ac:dyDescent="0.2">
      <c r="A54" s="22" t="s">
        <v>230</v>
      </c>
      <c r="B54" s="22" t="str">
        <f>rsl_list1!B6</f>
        <v>Family 2.jpg</v>
      </c>
      <c r="C54" s="22" t="str">
        <f>foils!I5</f>
        <v>52.mp4</v>
      </c>
      <c r="D54" s="22" t="s">
        <v>232</v>
      </c>
      <c r="E54" s="22" t="s">
        <v>232</v>
      </c>
      <c r="F54" s="22" t="s">
        <v>653</v>
      </c>
      <c r="G54" s="22" t="s">
        <v>231</v>
      </c>
      <c r="H54" s="22">
        <v>52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x14ac:dyDescent="0.2">
      <c r="A55" s="22" t="s">
        <v>230</v>
      </c>
      <c r="B55" s="22" t="str">
        <f>rsl_list1!B7</f>
        <v>Breathe 2.jpg</v>
      </c>
      <c r="C55" s="22" t="str">
        <f>foils!I6</f>
        <v>53.mp4</v>
      </c>
      <c r="D55" s="22" t="s">
        <v>232</v>
      </c>
      <c r="E55" s="22" t="s">
        <v>232</v>
      </c>
      <c r="F55" s="22" t="s">
        <v>653</v>
      </c>
      <c r="G55" s="22" t="s">
        <v>231</v>
      </c>
      <c r="H55" s="22">
        <v>53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x14ac:dyDescent="0.2">
      <c r="A56" s="22" t="s">
        <v>230</v>
      </c>
      <c r="B56" s="22" t="str">
        <f>rsl_list1!B8</f>
        <v>Cry 2.jpg</v>
      </c>
      <c r="C56" s="22" t="str">
        <f>foils!I7</f>
        <v>54.mp4</v>
      </c>
      <c r="D56" s="22" t="s">
        <v>232</v>
      </c>
      <c r="E56" s="22" t="s">
        <v>232</v>
      </c>
      <c r="F56" s="22" t="s">
        <v>653</v>
      </c>
      <c r="G56" s="22" t="s">
        <v>231</v>
      </c>
      <c r="H56" s="22">
        <v>54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x14ac:dyDescent="0.2">
      <c r="A57" s="22" t="s">
        <v>230</v>
      </c>
      <c r="B57" s="22" t="str">
        <f>rsl_list1!B9</f>
        <v>Run 1.jpg</v>
      </c>
      <c r="C57" s="22" t="str">
        <f>foils!I8</f>
        <v>55.mp4</v>
      </c>
      <c r="D57" s="22" t="s">
        <v>232</v>
      </c>
      <c r="E57" s="22" t="s">
        <v>232</v>
      </c>
      <c r="F57" s="22" t="s">
        <v>653</v>
      </c>
      <c r="G57" s="22" t="s">
        <v>231</v>
      </c>
      <c r="H57" s="22">
        <v>55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x14ac:dyDescent="0.2">
      <c r="A58" s="22" t="s">
        <v>230</v>
      </c>
      <c r="B58" s="22" t="str">
        <f>rsl_list1!B10</f>
        <v>Sing 1.jpg</v>
      </c>
      <c r="C58" s="22" t="str">
        <f>foils!I9</f>
        <v>56.mp4</v>
      </c>
      <c r="D58" s="22" t="s">
        <v>232</v>
      </c>
      <c r="E58" s="22" t="s">
        <v>232</v>
      </c>
      <c r="F58" s="22" t="s">
        <v>653</v>
      </c>
      <c r="G58" s="22" t="s">
        <v>231</v>
      </c>
      <c r="H58" s="22">
        <v>56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x14ac:dyDescent="0.2">
      <c r="A59" s="22" t="s">
        <v>230</v>
      </c>
      <c r="B59" s="22" t="str">
        <f>rsl_list1!B11</f>
        <v>Think 1.jpg</v>
      </c>
      <c r="C59" s="22" t="str">
        <f>foils!I10</f>
        <v>57.mp4</v>
      </c>
      <c r="D59" s="22" t="s">
        <v>232</v>
      </c>
      <c r="E59" s="22" t="s">
        <v>232</v>
      </c>
      <c r="F59" s="22" t="s">
        <v>653</v>
      </c>
      <c r="G59" s="22" t="s">
        <v>231</v>
      </c>
      <c r="H59" s="22">
        <v>57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x14ac:dyDescent="0.2">
      <c r="A60" s="22" t="s">
        <v>230</v>
      </c>
      <c r="B60" s="22" t="str">
        <f>rsl_list1!B12</f>
        <v>Paint 1.jpg</v>
      </c>
      <c r="C60" s="22" t="str">
        <f>foils!I11</f>
        <v>58.mp4</v>
      </c>
      <c r="D60" s="22" t="s">
        <v>232</v>
      </c>
      <c r="E60" s="22" t="s">
        <v>232</v>
      </c>
      <c r="F60" s="22" t="s">
        <v>653</v>
      </c>
      <c r="G60" s="22" t="s">
        <v>231</v>
      </c>
      <c r="H60" s="22">
        <v>58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x14ac:dyDescent="0.2">
      <c r="A61" s="22" t="s">
        <v>230</v>
      </c>
      <c r="B61" s="22" t="str">
        <f>rsl_list1!B13</f>
        <v>Watch 1.jpg</v>
      </c>
      <c r="C61" s="22" t="str">
        <f>foils!I12</f>
        <v>59.mp4</v>
      </c>
      <c r="D61" s="22" t="s">
        <v>232</v>
      </c>
      <c r="E61" s="22" t="s">
        <v>232</v>
      </c>
      <c r="F61" s="22" t="s">
        <v>653</v>
      </c>
      <c r="G61" s="22" t="s">
        <v>231</v>
      </c>
      <c r="H61" s="22">
        <v>59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x14ac:dyDescent="0.2">
      <c r="A62" s="22" t="s">
        <v>230</v>
      </c>
      <c r="B62" s="22" t="str">
        <f>rsl_list1!B14</f>
        <v>Write 1.jpg</v>
      </c>
      <c r="C62" s="22" t="str">
        <f>foils!I13</f>
        <v>60.mp4</v>
      </c>
      <c r="D62" s="22" t="s">
        <v>232</v>
      </c>
      <c r="E62" s="22" t="s">
        <v>232</v>
      </c>
      <c r="F62" s="22" t="s">
        <v>653</v>
      </c>
      <c r="G62" s="22" t="s">
        <v>231</v>
      </c>
      <c r="H62" s="22">
        <v>60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x14ac:dyDescent="0.2">
      <c r="A63" s="22" t="s">
        <v>230</v>
      </c>
      <c r="B63" s="22" t="str">
        <f>rsl_list1!B15</f>
        <v>Beauty 2.jpg</v>
      </c>
      <c r="C63" s="22" t="str">
        <f>foils!I14</f>
        <v>61.mp4</v>
      </c>
      <c r="D63" s="22" t="s">
        <v>232</v>
      </c>
      <c r="E63" s="22" t="s">
        <v>232</v>
      </c>
      <c r="F63" s="22" t="s">
        <v>653</v>
      </c>
      <c r="G63" s="22" t="s">
        <v>231</v>
      </c>
      <c r="H63" s="22">
        <v>61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x14ac:dyDescent="0.2">
      <c r="A64" s="22" t="s">
        <v>230</v>
      </c>
      <c r="B64" s="22" t="str">
        <f>rsl_list1!B16</f>
        <v>Change 2.jpg</v>
      </c>
      <c r="C64" s="22" t="str">
        <f>foils!I15</f>
        <v>62.mp4</v>
      </c>
      <c r="D64" s="22" t="s">
        <v>232</v>
      </c>
      <c r="E64" s="22" t="s">
        <v>232</v>
      </c>
      <c r="F64" s="22" t="s">
        <v>653</v>
      </c>
      <c r="G64" s="22" t="s">
        <v>231</v>
      </c>
      <c r="H64" s="22">
        <v>62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x14ac:dyDescent="0.2">
      <c r="A65" s="22" t="s">
        <v>230</v>
      </c>
      <c r="B65" s="22" t="str">
        <f>rsl_list1!B17</f>
        <v>Book 2.jpg</v>
      </c>
      <c r="C65" s="22" t="str">
        <f>foils!I16</f>
        <v>63.mp4</v>
      </c>
      <c r="D65" s="22" t="s">
        <v>232</v>
      </c>
      <c r="E65" s="22" t="s">
        <v>232</v>
      </c>
      <c r="F65" s="22" t="s">
        <v>653</v>
      </c>
      <c r="G65" s="22" t="s">
        <v>231</v>
      </c>
      <c r="H65" s="22">
        <v>63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x14ac:dyDescent="0.2">
      <c r="A66" s="22" t="s">
        <v>230</v>
      </c>
      <c r="B66" s="22" t="str">
        <f>rsl_list1!B18</f>
        <v>Coffee 2.jpg</v>
      </c>
      <c r="C66" s="22" t="str">
        <f>foils!I17</f>
        <v>64.mp4</v>
      </c>
      <c r="D66" s="22" t="s">
        <v>232</v>
      </c>
      <c r="E66" s="22" t="s">
        <v>232</v>
      </c>
      <c r="F66" s="22" t="s">
        <v>653</v>
      </c>
      <c r="G66" s="22" t="s">
        <v>231</v>
      </c>
      <c r="H66" s="22">
        <v>64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x14ac:dyDescent="0.2">
      <c r="A67" s="22" t="s">
        <v>230</v>
      </c>
      <c r="B67" s="22" t="str">
        <f>rsl_list1!B19</f>
        <v>Cigar 2.jpg</v>
      </c>
      <c r="C67" s="22" t="str">
        <f>foils!I18</f>
        <v>65.mp4</v>
      </c>
      <c r="D67" s="22" t="s">
        <v>232</v>
      </c>
      <c r="E67" s="22" t="s">
        <v>232</v>
      </c>
      <c r="F67" s="22" t="s">
        <v>653</v>
      </c>
      <c r="G67" s="22" t="s">
        <v>231</v>
      </c>
      <c r="H67" s="22">
        <v>65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x14ac:dyDescent="0.2">
      <c r="A68" s="22" t="s">
        <v>230</v>
      </c>
      <c r="B68" s="22" t="str">
        <f>rsl_list1!B20</f>
        <v>Flower 2.jpg</v>
      </c>
      <c r="C68" s="22" t="str">
        <f>foils!I19</f>
        <v>66.mp4</v>
      </c>
      <c r="D68" s="22" t="s">
        <v>232</v>
      </c>
      <c r="E68" s="22" t="s">
        <v>232</v>
      </c>
      <c r="F68" s="22" t="s">
        <v>653</v>
      </c>
      <c r="G68" s="22" t="s">
        <v>231</v>
      </c>
      <c r="H68" s="22">
        <v>66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x14ac:dyDescent="0.2">
      <c r="A69" s="22" t="s">
        <v>230</v>
      </c>
      <c r="B69" s="22" t="str">
        <f>rsl_list1!B21</f>
        <v>Metal 1.jpg</v>
      </c>
      <c r="C69" s="22" t="str">
        <f>foils!I20</f>
        <v>67.mp4</v>
      </c>
      <c r="D69" s="22" t="s">
        <v>232</v>
      </c>
      <c r="E69" s="22" t="s">
        <v>232</v>
      </c>
      <c r="F69" s="22" t="s">
        <v>653</v>
      </c>
      <c r="G69" s="22" t="s">
        <v>231</v>
      </c>
      <c r="H69" s="22">
        <v>67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x14ac:dyDescent="0.2">
      <c r="A70" s="22" t="s">
        <v>230</v>
      </c>
      <c r="B70" s="22" t="str">
        <f>rsl_list1!B22</f>
        <v>Telephone 1.jpg</v>
      </c>
      <c r="C70" s="22" t="str">
        <f>foils!I21</f>
        <v>68.mp4</v>
      </c>
      <c r="D70" s="22" t="s">
        <v>232</v>
      </c>
      <c r="E70" s="22" t="s">
        <v>232</v>
      </c>
      <c r="F70" s="22" t="s">
        <v>653</v>
      </c>
      <c r="G70" s="22" t="s">
        <v>231</v>
      </c>
      <c r="H70" s="22">
        <v>68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x14ac:dyDescent="0.2">
      <c r="A71" s="22" t="s">
        <v>230</v>
      </c>
      <c r="B71" s="22" t="str">
        <f>rsl_list1!B23</f>
        <v>Jump 1.jpg</v>
      </c>
      <c r="C71" s="22" t="str">
        <f>foils!I22</f>
        <v>69.mp4</v>
      </c>
      <c r="D71" s="22" t="s">
        <v>232</v>
      </c>
      <c r="E71" s="22" t="s">
        <v>232</v>
      </c>
      <c r="F71" s="22" t="s">
        <v>653</v>
      </c>
      <c r="G71" s="22" t="s">
        <v>231</v>
      </c>
      <c r="H71" s="22">
        <v>69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x14ac:dyDescent="0.2">
      <c r="A72" s="22" t="s">
        <v>230</v>
      </c>
      <c r="B72" s="22" t="str">
        <f>rsl_list1!B24</f>
        <v>Leave 1.jpg</v>
      </c>
      <c r="C72" s="22" t="str">
        <f>foils!I23</f>
        <v>70.mp4</v>
      </c>
      <c r="D72" s="22" t="s">
        <v>232</v>
      </c>
      <c r="E72" s="22" t="s">
        <v>232</v>
      </c>
      <c r="F72" s="22" t="s">
        <v>653</v>
      </c>
      <c r="G72" s="22" t="s">
        <v>231</v>
      </c>
      <c r="H72" s="22">
        <v>70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x14ac:dyDescent="0.2">
      <c r="A73" s="22" t="s">
        <v>230</v>
      </c>
      <c r="B73" s="22" t="str">
        <f>rsl_list1!B25</f>
        <v>Lose 1.jpg</v>
      </c>
      <c r="C73" s="22" t="str">
        <f>foils!I24</f>
        <v>71.mp4</v>
      </c>
      <c r="D73" s="22" t="s">
        <v>232</v>
      </c>
      <c r="E73" s="22" t="s">
        <v>232</v>
      </c>
      <c r="F73" s="22" t="s">
        <v>653</v>
      </c>
      <c r="G73" s="22" t="s">
        <v>231</v>
      </c>
      <c r="H73" s="22">
        <v>71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x14ac:dyDescent="0.2">
      <c r="A74" s="22" t="s">
        <v>230</v>
      </c>
      <c r="B74" s="22" t="str">
        <f>rsl_list1!B26</f>
        <v>Take 1.jpg</v>
      </c>
      <c r="C74" s="22" t="str">
        <f>foils!I25</f>
        <v>72.mp4</v>
      </c>
      <c r="D74" s="22" t="s">
        <v>232</v>
      </c>
      <c r="E74" s="22" t="s">
        <v>232</v>
      </c>
      <c r="F74" s="22" t="s">
        <v>653</v>
      </c>
      <c r="G74" s="22" t="s">
        <v>231</v>
      </c>
      <c r="H74" s="22">
        <v>72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x14ac:dyDescent="0.2">
      <c r="A75" s="22" t="s">
        <v>230</v>
      </c>
      <c r="B75" s="22" t="str">
        <f>rsl_list1!B27</f>
        <v>Frog 2.jpg</v>
      </c>
      <c r="C75" s="22" t="str">
        <f>foils!I26</f>
        <v>73.mp4</v>
      </c>
      <c r="D75" s="22" t="s">
        <v>232</v>
      </c>
      <c r="E75" s="22" t="s">
        <v>232</v>
      </c>
      <c r="F75" s="22" t="s">
        <v>653</v>
      </c>
      <c r="G75" s="22" t="s">
        <v>231</v>
      </c>
      <c r="H75" s="22">
        <v>73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x14ac:dyDescent="0.2">
      <c r="A76" s="22" t="s">
        <v>230</v>
      </c>
      <c r="B76" s="22" t="str">
        <f>rsl_list1!B28</f>
        <v>Gorilla 2.jpg</v>
      </c>
      <c r="C76" s="22" t="str">
        <f>foils!I27</f>
        <v>74.mp4</v>
      </c>
      <c r="D76" s="22" t="s">
        <v>232</v>
      </c>
      <c r="E76" s="22" t="s">
        <v>232</v>
      </c>
      <c r="F76" s="22" t="s">
        <v>653</v>
      </c>
      <c r="G76" s="22" t="s">
        <v>231</v>
      </c>
      <c r="H76" s="22">
        <v>74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x14ac:dyDescent="0.2">
      <c r="A77" s="22" t="s">
        <v>230</v>
      </c>
      <c r="B77" s="22" t="str">
        <f>rsl_list1!B29</f>
        <v>Come 2.jpg</v>
      </c>
      <c r="C77" s="22" t="str">
        <f>foils!I28</f>
        <v>75.mp4</v>
      </c>
      <c r="D77" s="22" t="s">
        <v>232</v>
      </c>
      <c r="E77" s="22" t="s">
        <v>232</v>
      </c>
      <c r="F77" s="22" t="s">
        <v>653</v>
      </c>
      <c r="G77" s="22" t="s">
        <v>231</v>
      </c>
      <c r="H77" s="22">
        <v>75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x14ac:dyDescent="0.2">
      <c r="A78" s="22" t="s">
        <v>230</v>
      </c>
      <c r="B78" s="22" t="str">
        <f>rsl_list1!B30</f>
        <v>Sail 2.jpg</v>
      </c>
      <c r="C78" s="22" t="str">
        <f>foils!I29</f>
        <v>76.mp4</v>
      </c>
      <c r="D78" s="22" t="s">
        <v>232</v>
      </c>
      <c r="E78" s="22" t="s">
        <v>232</v>
      </c>
      <c r="F78" s="22" t="s">
        <v>653</v>
      </c>
      <c r="G78" s="22" t="s">
        <v>231</v>
      </c>
      <c r="H78" s="22">
        <v>76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x14ac:dyDescent="0.2">
      <c r="A79" s="22" t="s">
        <v>230</v>
      </c>
      <c r="B79" s="22" t="str">
        <f>rsl_list1!B31</f>
        <v>Travel 2.jpg</v>
      </c>
      <c r="C79" s="22" t="str">
        <f>foils!I30</f>
        <v>77.mp4</v>
      </c>
      <c r="D79" s="22" t="s">
        <v>232</v>
      </c>
      <c r="E79" s="22" t="s">
        <v>232</v>
      </c>
      <c r="F79" s="22" t="s">
        <v>653</v>
      </c>
      <c r="G79" s="22" t="s">
        <v>231</v>
      </c>
      <c r="H79" s="22">
        <v>77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x14ac:dyDescent="0.2">
      <c r="A80" s="22" t="s">
        <v>230</v>
      </c>
      <c r="B80" s="22" t="str">
        <f>rsl_list1!B32</f>
        <v>Doubt 2.jpg</v>
      </c>
      <c r="C80" s="22" t="str">
        <f>foils!I31</f>
        <v>78.mp4</v>
      </c>
      <c r="D80" s="22" t="s">
        <v>232</v>
      </c>
      <c r="E80" s="22" t="s">
        <v>232</v>
      </c>
      <c r="F80" s="22" t="s">
        <v>653</v>
      </c>
      <c r="G80" s="22" t="s">
        <v>231</v>
      </c>
      <c r="H80" s="22">
        <v>78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2">
      <c r="A81" s="22" t="s">
        <v>230</v>
      </c>
      <c r="B81" s="22" t="str">
        <f>rsl_list1!B33</f>
        <v>Play 1.jpg</v>
      </c>
      <c r="C81" s="22" t="str">
        <f>foils!I32</f>
        <v>79.mp4</v>
      </c>
      <c r="D81" s="22" t="s">
        <v>232</v>
      </c>
      <c r="E81" s="22" t="s">
        <v>232</v>
      </c>
      <c r="F81" s="22" t="s">
        <v>653</v>
      </c>
      <c r="G81" s="22" t="s">
        <v>231</v>
      </c>
      <c r="H81" s="22">
        <v>79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x14ac:dyDescent="0.2">
      <c r="A82" s="22" t="s">
        <v>230</v>
      </c>
      <c r="B82" s="22" t="str">
        <f>rsl_list1!B34</f>
        <v>Engagement 1.jpg</v>
      </c>
      <c r="C82" s="22" t="str">
        <f>foils!I33</f>
        <v>80.mp4</v>
      </c>
      <c r="D82" s="22" t="s">
        <v>232</v>
      </c>
      <c r="E82" s="22" t="s">
        <v>232</v>
      </c>
      <c r="F82" s="22" t="s">
        <v>653</v>
      </c>
      <c r="G82" s="22" t="s">
        <v>231</v>
      </c>
      <c r="H82" s="22">
        <v>80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x14ac:dyDescent="0.2">
      <c r="A83" s="22" t="s">
        <v>230</v>
      </c>
      <c r="B83" s="22" t="str">
        <f>rsl_list1!B35</f>
        <v>Color 1.jpg</v>
      </c>
      <c r="C83" s="22" t="str">
        <f>foils!I34</f>
        <v>81.mp4</v>
      </c>
      <c r="D83" s="22" t="s">
        <v>232</v>
      </c>
      <c r="E83" s="22" t="s">
        <v>232</v>
      </c>
      <c r="F83" s="22" t="s">
        <v>653</v>
      </c>
      <c r="G83" s="22" t="s">
        <v>231</v>
      </c>
      <c r="H83" s="22">
        <v>81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x14ac:dyDescent="0.2">
      <c r="A84" s="22" t="s">
        <v>230</v>
      </c>
      <c r="B84" s="22" t="str">
        <f>rsl_list1!B36</f>
        <v>East 1.jpg</v>
      </c>
      <c r="C84" s="22" t="str">
        <f>foils!I35</f>
        <v>82.mp4</v>
      </c>
      <c r="D84" s="22" t="s">
        <v>232</v>
      </c>
      <c r="E84" s="22" t="s">
        <v>232</v>
      </c>
      <c r="F84" s="22" t="s">
        <v>653</v>
      </c>
      <c r="G84" s="22" t="s">
        <v>231</v>
      </c>
      <c r="H84" s="22">
        <v>82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x14ac:dyDescent="0.2">
      <c r="A85" s="22" t="s">
        <v>230</v>
      </c>
      <c r="B85" s="22" t="str">
        <f>rsl_list1!B37</f>
        <v>School 1.jpg</v>
      </c>
      <c r="C85" s="22" t="str">
        <f>foils!I36</f>
        <v>83.mp4</v>
      </c>
      <c r="D85" s="22" t="s">
        <v>232</v>
      </c>
      <c r="E85" s="22" t="s">
        <v>232</v>
      </c>
      <c r="F85" s="22" t="s">
        <v>653</v>
      </c>
      <c r="G85" s="22" t="s">
        <v>231</v>
      </c>
      <c r="H85" s="22">
        <v>83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x14ac:dyDescent="0.2">
      <c r="A86" s="22" t="s">
        <v>230</v>
      </c>
      <c r="B86" s="22" t="str">
        <f>rsl_list1!B38</f>
        <v>Pain 1.jpg</v>
      </c>
      <c r="C86" s="22" t="str">
        <f>foils!I37</f>
        <v>84.mp4</v>
      </c>
      <c r="D86" s="22" t="s">
        <v>232</v>
      </c>
      <c r="E86" s="22" t="s">
        <v>232</v>
      </c>
      <c r="F86" s="22" t="s">
        <v>653</v>
      </c>
      <c r="G86" s="22" t="s">
        <v>231</v>
      </c>
      <c r="H86" s="22">
        <v>84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x14ac:dyDescent="0.2">
      <c r="A87" s="22" t="s">
        <v>230</v>
      </c>
      <c r="B87" s="22" t="str">
        <f>rsl_list1!B39</f>
        <v>Cabbage 2.jpg</v>
      </c>
      <c r="C87" s="22" t="str">
        <f>foils!I38</f>
        <v>85.mp4</v>
      </c>
      <c r="D87" s="22" t="s">
        <v>232</v>
      </c>
      <c r="E87" s="22" t="s">
        <v>232</v>
      </c>
      <c r="F87" s="22" t="s">
        <v>653</v>
      </c>
      <c r="G87" s="22" t="s">
        <v>231</v>
      </c>
      <c r="H87" s="22">
        <v>85</v>
      </c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x14ac:dyDescent="0.2">
      <c r="A88" s="22" t="s">
        <v>230</v>
      </c>
      <c r="B88" s="22" t="str">
        <f>rsl_list1!B40</f>
        <v>Doll 2.jpg</v>
      </c>
      <c r="C88" s="22" t="str">
        <f>foils!I39</f>
        <v>86.mp4</v>
      </c>
      <c r="D88" s="22" t="s">
        <v>232</v>
      </c>
      <c r="E88" s="22" t="s">
        <v>232</v>
      </c>
      <c r="F88" s="22" t="s">
        <v>653</v>
      </c>
      <c r="G88" s="22" t="s">
        <v>231</v>
      </c>
      <c r="H88" s="22">
        <v>86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x14ac:dyDescent="0.2">
      <c r="A89" s="22" t="s">
        <v>230</v>
      </c>
      <c r="B89" s="22" t="str">
        <f>rsl_list1!B41</f>
        <v>Magazine 2.jpg</v>
      </c>
      <c r="C89" s="22" t="str">
        <f>foils!I40</f>
        <v>87.mp4</v>
      </c>
      <c r="D89" s="22" t="s">
        <v>232</v>
      </c>
      <c r="E89" s="22" t="s">
        <v>232</v>
      </c>
      <c r="F89" s="22" t="s">
        <v>653</v>
      </c>
      <c r="G89" s="22" t="s">
        <v>231</v>
      </c>
      <c r="H89" s="22">
        <v>87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x14ac:dyDescent="0.2">
      <c r="A90" s="22" t="s">
        <v>230</v>
      </c>
      <c r="B90" s="22" t="str">
        <f>rsl_list1!B42</f>
        <v>Ring 2.jpg</v>
      </c>
      <c r="C90" s="22" t="str">
        <f>foils!I41</f>
        <v>88.mp4</v>
      </c>
      <c r="D90" s="22" t="s">
        <v>232</v>
      </c>
      <c r="E90" s="22" t="s">
        <v>232</v>
      </c>
      <c r="F90" s="22" t="s">
        <v>653</v>
      </c>
      <c r="G90" s="22" t="s">
        <v>231</v>
      </c>
      <c r="H90" s="22">
        <v>88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x14ac:dyDescent="0.2">
      <c r="A91" s="22" t="s">
        <v>230</v>
      </c>
      <c r="B91" s="22" t="str">
        <f>rsl_list1!B43</f>
        <v>Salt 2.jpg</v>
      </c>
      <c r="C91" s="22" t="str">
        <f>foils!I42</f>
        <v>89.mp4</v>
      </c>
      <c r="D91" s="22" t="s">
        <v>232</v>
      </c>
      <c r="E91" s="22" t="s">
        <v>232</v>
      </c>
      <c r="F91" s="22" t="s">
        <v>653</v>
      </c>
      <c r="G91" s="22" t="s">
        <v>231</v>
      </c>
      <c r="H91" s="22">
        <v>89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x14ac:dyDescent="0.2">
      <c r="A92" s="22" t="s">
        <v>230</v>
      </c>
      <c r="B92" s="22" t="str">
        <f>rsl_list1!B44</f>
        <v>Sneeze 2.jpg</v>
      </c>
      <c r="C92" s="22" t="str">
        <f>foils!I43</f>
        <v>90.mp4</v>
      </c>
      <c r="D92" s="22" t="s">
        <v>232</v>
      </c>
      <c r="E92" s="22" t="s">
        <v>232</v>
      </c>
      <c r="F92" s="22" t="s">
        <v>653</v>
      </c>
      <c r="G92" s="22" t="s">
        <v>231</v>
      </c>
      <c r="H92" s="22">
        <v>90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x14ac:dyDescent="0.2">
      <c r="A93" s="22" t="s">
        <v>230</v>
      </c>
      <c r="B93" s="22" t="str">
        <f>rsl_list1!B45</f>
        <v>Try 1.jpg</v>
      </c>
      <c r="C93" s="22" t="str">
        <f>foils!I44</f>
        <v>91.mp4</v>
      </c>
      <c r="D93" s="22" t="s">
        <v>232</v>
      </c>
      <c r="E93" s="22" t="s">
        <v>232</v>
      </c>
      <c r="F93" s="22" t="s">
        <v>653</v>
      </c>
      <c r="G93" s="22" t="s">
        <v>231</v>
      </c>
      <c r="H93" s="22">
        <v>91</v>
      </c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x14ac:dyDescent="0.2">
      <c r="A94" s="22" t="s">
        <v>230</v>
      </c>
      <c r="B94" s="22" t="str">
        <f>rsl_list1!B46</f>
        <v>Wait 1.jpg</v>
      </c>
      <c r="C94" s="22" t="str">
        <f>foils!I45</f>
        <v>92.mp4</v>
      </c>
      <c r="D94" s="22" t="s">
        <v>232</v>
      </c>
      <c r="E94" s="22" t="s">
        <v>232</v>
      </c>
      <c r="F94" s="22" t="s">
        <v>653</v>
      </c>
      <c r="G94" s="22" t="s">
        <v>231</v>
      </c>
      <c r="H94" s="22">
        <v>92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x14ac:dyDescent="0.2">
      <c r="A95" s="22" t="s">
        <v>230</v>
      </c>
      <c r="B95" s="22" t="str">
        <f>rsl_list1!B47</f>
        <v>Call 1.jpg</v>
      </c>
      <c r="C95" s="22" t="str">
        <f>foils!I46</f>
        <v>93.mp4</v>
      </c>
      <c r="D95" s="22" t="s">
        <v>232</v>
      </c>
      <c r="E95" s="22" t="s">
        <v>232</v>
      </c>
      <c r="F95" s="22" t="s">
        <v>653</v>
      </c>
      <c r="G95" s="22" t="s">
        <v>231</v>
      </c>
      <c r="H95" s="22">
        <v>93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x14ac:dyDescent="0.2">
      <c r="A96" s="22" t="s">
        <v>230</v>
      </c>
      <c r="B96" s="22" t="str">
        <f>rsl_list1!B48</f>
        <v>Choose 1.jpg</v>
      </c>
      <c r="C96" s="22" t="str">
        <f>foils!I47</f>
        <v>94.mp4</v>
      </c>
      <c r="D96" s="22" t="s">
        <v>232</v>
      </c>
      <c r="E96" s="22" t="s">
        <v>232</v>
      </c>
      <c r="F96" s="22" t="s">
        <v>653</v>
      </c>
      <c r="G96" s="22" t="s">
        <v>231</v>
      </c>
      <c r="H96" s="22">
        <v>94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x14ac:dyDescent="0.2">
      <c r="A97" s="22" t="s">
        <v>230</v>
      </c>
      <c r="B97" s="22" t="str">
        <f>rsl_list1!B49</f>
        <v>Show 1.jpg</v>
      </c>
      <c r="C97" s="22" t="str">
        <f>foils!I48</f>
        <v>95.mp4</v>
      </c>
      <c r="D97" s="22" t="s">
        <v>232</v>
      </c>
      <c r="E97" s="22" t="s">
        <v>232</v>
      </c>
      <c r="F97" s="22" t="s">
        <v>653</v>
      </c>
      <c r="G97" s="22" t="s">
        <v>231</v>
      </c>
      <c r="H97" s="22">
        <v>95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x14ac:dyDescent="0.2">
      <c r="A98" s="22" t="s">
        <v>230</v>
      </c>
      <c r="B98" s="22" t="str">
        <f>rsl_list1!B50</f>
        <v>Win 1.jpg</v>
      </c>
      <c r="C98" s="22" t="str">
        <f>foils!I49</f>
        <v>96.mp4</v>
      </c>
      <c r="D98" s="22" t="s">
        <v>232</v>
      </c>
      <c r="E98" s="22" t="s">
        <v>232</v>
      </c>
      <c r="F98" s="22" t="s">
        <v>653</v>
      </c>
      <c r="G98" s="22" t="s">
        <v>231</v>
      </c>
      <c r="H98" s="22">
        <v>96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x14ac:dyDescent="0.2">
      <c r="A99" s="22" t="s">
        <v>654</v>
      </c>
      <c r="B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x14ac:dyDescent="0.2">
      <c r="A100" s="22"/>
      <c r="B100" s="22"/>
      <c r="D100" s="22"/>
      <c r="E100" s="22"/>
      <c r="F100" s="22"/>
      <c r="G100" s="22"/>
      <c r="H100" s="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x14ac:dyDescent="0.2">
      <c r="A101" s="22"/>
      <c r="B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x14ac:dyDescent="0.2">
      <c r="A102" s="22"/>
      <c r="B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x14ac:dyDescent="0.2">
      <c r="A103" s="22"/>
      <c r="B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x14ac:dyDescent="0.2">
      <c r="A104" s="22"/>
      <c r="B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x14ac:dyDescent="0.2">
      <c r="A105" s="22"/>
      <c r="B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x14ac:dyDescent="0.2">
      <c r="A106" s="22"/>
      <c r="B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x14ac:dyDescent="0.2">
      <c r="A107" s="22"/>
      <c r="B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x14ac:dyDescent="0.2">
      <c r="A108" s="22"/>
      <c r="B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x14ac:dyDescent="0.2">
      <c r="A109" s="22"/>
      <c r="B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x14ac:dyDescent="0.2">
      <c r="A110" s="22"/>
      <c r="B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x14ac:dyDescent="0.2">
      <c r="A111" s="22"/>
      <c r="B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x14ac:dyDescent="0.2">
      <c r="A112" s="22"/>
      <c r="B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x14ac:dyDescent="0.2">
      <c r="A113" s="22"/>
      <c r="B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x14ac:dyDescent="0.2">
      <c r="A114" s="22"/>
      <c r="B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x14ac:dyDescent="0.2">
      <c r="A115" s="22"/>
      <c r="B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x14ac:dyDescent="0.2">
      <c r="A116" s="22"/>
      <c r="B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x14ac:dyDescent="0.2">
      <c r="A117" s="22"/>
      <c r="B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x14ac:dyDescent="0.2">
      <c r="A118" s="22"/>
      <c r="B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x14ac:dyDescent="0.2">
      <c r="A119" s="22"/>
      <c r="B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x14ac:dyDescent="0.2">
      <c r="A120" s="22"/>
      <c r="B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x14ac:dyDescent="0.2">
      <c r="A121" s="22"/>
      <c r="B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x14ac:dyDescent="0.2">
      <c r="A122" s="22"/>
      <c r="B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x14ac:dyDescent="0.2">
      <c r="A123" s="22"/>
      <c r="B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x14ac:dyDescent="0.2">
      <c r="A124" s="22"/>
      <c r="B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x14ac:dyDescent="0.2">
      <c r="A125" s="22"/>
      <c r="B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x14ac:dyDescent="0.2">
      <c r="A126" s="22"/>
      <c r="B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x14ac:dyDescent="0.2">
      <c r="A127" s="22"/>
      <c r="B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x14ac:dyDescent="0.2">
      <c r="A128" s="22"/>
      <c r="B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x14ac:dyDescent="0.2">
      <c r="A129" s="22"/>
      <c r="B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x14ac:dyDescent="0.2">
      <c r="A130" s="22"/>
      <c r="B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x14ac:dyDescent="0.2">
      <c r="A131" s="22"/>
      <c r="B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x14ac:dyDescent="0.2">
      <c r="A132" s="22"/>
      <c r="B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x14ac:dyDescent="0.2">
      <c r="A133" s="22"/>
      <c r="B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x14ac:dyDescent="0.2">
      <c r="A134" s="22"/>
      <c r="B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x14ac:dyDescent="0.2">
      <c r="A135" s="22"/>
      <c r="B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x14ac:dyDescent="0.2">
      <c r="A136" s="22"/>
      <c r="B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x14ac:dyDescent="0.2">
      <c r="A137" s="22"/>
      <c r="B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x14ac:dyDescent="0.2">
      <c r="A138" s="22"/>
      <c r="B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x14ac:dyDescent="0.2">
      <c r="A139" s="22"/>
      <c r="B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x14ac:dyDescent="0.2">
      <c r="A140" s="22"/>
      <c r="B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x14ac:dyDescent="0.2">
      <c r="A141" s="22"/>
      <c r="B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x14ac:dyDescent="0.2">
      <c r="A142" s="22"/>
      <c r="B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x14ac:dyDescent="0.2">
      <c r="A143" s="22"/>
      <c r="B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x14ac:dyDescent="0.2">
      <c r="A144" s="22"/>
      <c r="B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x14ac:dyDescent="0.2">
      <c r="A145" s="22"/>
      <c r="B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x14ac:dyDescent="0.2">
      <c r="A146" s="22"/>
      <c r="B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x14ac:dyDescent="0.2">
      <c r="A147" s="22"/>
      <c r="B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x14ac:dyDescent="0.2">
      <c r="A148" s="22"/>
      <c r="B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x14ac:dyDescent="0.2">
      <c r="A149" s="22"/>
      <c r="B149" s="22"/>
      <c r="D149" s="22"/>
      <c r="E149" s="22"/>
      <c r="F149" s="22"/>
      <c r="G149" s="22"/>
      <c r="H149" s="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x14ac:dyDescent="0.2">
      <c r="A150" s="22"/>
      <c r="B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x14ac:dyDescent="0.2">
      <c r="A151" s="22"/>
      <c r="B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x14ac:dyDescent="0.2">
      <c r="A152" s="22"/>
      <c r="B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x14ac:dyDescent="0.2">
      <c r="A153" s="22"/>
      <c r="B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x14ac:dyDescent="0.2">
      <c r="A154" s="22"/>
      <c r="B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x14ac:dyDescent="0.2">
      <c r="A155" s="22"/>
      <c r="B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x14ac:dyDescent="0.2">
      <c r="A156" s="22"/>
      <c r="B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x14ac:dyDescent="0.2">
      <c r="A157" s="22"/>
      <c r="B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x14ac:dyDescent="0.2">
      <c r="A158" s="22"/>
      <c r="B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x14ac:dyDescent="0.2">
      <c r="A159" s="22"/>
      <c r="B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 x14ac:dyDescent="0.2">
      <c r="A160" s="22"/>
      <c r="B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 x14ac:dyDescent="0.2">
      <c r="A161" s="22"/>
      <c r="B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 x14ac:dyDescent="0.2">
      <c r="A162" s="22"/>
      <c r="B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 x14ac:dyDescent="0.2">
      <c r="A163" s="22"/>
      <c r="B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 x14ac:dyDescent="0.2">
      <c r="A164" s="22"/>
      <c r="B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 x14ac:dyDescent="0.2">
      <c r="A165" s="22"/>
      <c r="B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 x14ac:dyDescent="0.2">
      <c r="A166" s="22"/>
      <c r="B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 x14ac:dyDescent="0.2">
      <c r="A167" s="22"/>
      <c r="B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 x14ac:dyDescent="0.2">
      <c r="A168" s="22"/>
      <c r="B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 x14ac:dyDescent="0.2">
      <c r="A169" s="22"/>
      <c r="B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 x14ac:dyDescent="0.2">
      <c r="A170" s="22"/>
      <c r="B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 x14ac:dyDescent="0.2">
      <c r="A171" s="22"/>
      <c r="B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 x14ac:dyDescent="0.2">
      <c r="A172" s="22"/>
      <c r="B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 x14ac:dyDescent="0.2">
      <c r="A173" s="22"/>
      <c r="B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 x14ac:dyDescent="0.2">
      <c r="A174" s="22"/>
      <c r="B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 x14ac:dyDescent="0.2">
      <c r="A175" s="22"/>
      <c r="B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 x14ac:dyDescent="0.2">
      <c r="A176" s="22"/>
      <c r="B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 x14ac:dyDescent="0.2">
      <c r="A177" s="22"/>
      <c r="B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 x14ac:dyDescent="0.2">
      <c r="A178" s="22"/>
      <c r="B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 x14ac:dyDescent="0.2">
      <c r="A179" s="22"/>
      <c r="B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 x14ac:dyDescent="0.2">
      <c r="A180" s="22"/>
      <c r="B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 x14ac:dyDescent="0.2">
      <c r="A181" s="22"/>
      <c r="B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 x14ac:dyDescent="0.2">
      <c r="A182" s="22"/>
      <c r="B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 x14ac:dyDescent="0.2">
      <c r="A183" s="22"/>
      <c r="B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 x14ac:dyDescent="0.2">
      <c r="A184" s="22"/>
      <c r="B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 x14ac:dyDescent="0.2">
      <c r="A185" s="22"/>
      <c r="B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x14ac:dyDescent="0.2">
      <c r="A186" s="22"/>
      <c r="B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 x14ac:dyDescent="0.2">
      <c r="A187" s="22"/>
      <c r="B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 x14ac:dyDescent="0.2">
      <c r="A188" s="22"/>
      <c r="B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 x14ac:dyDescent="0.2">
      <c r="A189" s="22"/>
      <c r="B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 x14ac:dyDescent="0.2">
      <c r="A190" s="22"/>
      <c r="B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 x14ac:dyDescent="0.2">
      <c r="A191" s="22"/>
      <c r="B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 x14ac:dyDescent="0.2">
      <c r="A192" s="22"/>
      <c r="B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 x14ac:dyDescent="0.2">
      <c r="A193" s="22"/>
      <c r="B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x14ac:dyDescent="0.2">
      <c r="A194" s="22"/>
      <c r="B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spans="1:30" x14ac:dyDescent="0.2">
      <c r="A195" s="22"/>
      <c r="B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spans="1:30" x14ac:dyDescent="0.2">
      <c r="A196" s="22"/>
      <c r="B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spans="1:30" x14ac:dyDescent="0.2">
      <c r="A197" s="22"/>
      <c r="B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spans="1:30" x14ac:dyDescent="0.2">
      <c r="A198" s="22"/>
      <c r="B198" s="22"/>
      <c r="D198" s="22"/>
      <c r="E198" s="22"/>
      <c r="F198" s="22"/>
      <c r="G198" s="22"/>
      <c r="H198" s="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spans="1:30" x14ac:dyDescent="0.2">
      <c r="A199" s="22"/>
      <c r="B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spans="1:30" x14ac:dyDescent="0.2">
      <c r="A200" s="22"/>
      <c r="B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spans="1:30" x14ac:dyDescent="0.2">
      <c r="A201" s="22"/>
      <c r="B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spans="1:30" x14ac:dyDescent="0.2">
      <c r="A202" s="22"/>
      <c r="B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30" x14ac:dyDescent="0.2">
      <c r="A203" s="22"/>
      <c r="B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spans="1:30" x14ac:dyDescent="0.2">
      <c r="A204" s="22"/>
      <c r="B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spans="1:30" x14ac:dyDescent="0.2">
      <c r="A205" s="22"/>
      <c r="B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spans="1:30" x14ac:dyDescent="0.2">
      <c r="A206" s="22"/>
      <c r="B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spans="1:30" x14ac:dyDescent="0.2">
      <c r="A207" s="22"/>
      <c r="B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spans="1:30" x14ac:dyDescent="0.2">
      <c r="A208" s="22"/>
      <c r="B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spans="1:30" x14ac:dyDescent="0.2">
      <c r="A209" s="22"/>
      <c r="B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spans="1:30" x14ac:dyDescent="0.2">
      <c r="A210" s="22"/>
      <c r="B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spans="1:30" x14ac:dyDescent="0.2">
      <c r="A211" s="22"/>
      <c r="B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spans="1:30" x14ac:dyDescent="0.2">
      <c r="A212" s="22"/>
      <c r="B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spans="1:30" x14ac:dyDescent="0.2">
      <c r="A213" s="22"/>
      <c r="B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spans="1:30" x14ac:dyDescent="0.2">
      <c r="A214" s="22"/>
      <c r="B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spans="1:30" x14ac:dyDescent="0.2">
      <c r="A215" s="22"/>
      <c r="B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spans="1:30" x14ac:dyDescent="0.2">
      <c r="A216" s="22"/>
      <c r="B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spans="1:30" x14ac:dyDescent="0.2">
      <c r="A217" s="22"/>
      <c r="B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spans="1:30" x14ac:dyDescent="0.2">
      <c r="A218" s="22"/>
      <c r="B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spans="1:30" x14ac:dyDescent="0.2">
      <c r="A219" s="22"/>
      <c r="B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spans="1:30" x14ac:dyDescent="0.2">
      <c r="A220" s="22"/>
      <c r="B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x14ac:dyDescent="0.2">
      <c r="A221" s="22"/>
      <c r="B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x14ac:dyDescent="0.2">
      <c r="A222" s="22"/>
      <c r="B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x14ac:dyDescent="0.2">
      <c r="A223" s="22"/>
      <c r="B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x14ac:dyDescent="0.2">
      <c r="A224" s="22"/>
      <c r="B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x14ac:dyDescent="0.2">
      <c r="A225" s="22"/>
      <c r="B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x14ac:dyDescent="0.2">
      <c r="A226" s="22"/>
      <c r="B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x14ac:dyDescent="0.2">
      <c r="A227" s="22"/>
      <c r="B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x14ac:dyDescent="0.2">
      <c r="A228" s="22"/>
      <c r="B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x14ac:dyDescent="0.2">
      <c r="A229" s="22"/>
      <c r="B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x14ac:dyDescent="0.2">
      <c r="A230" s="22"/>
      <c r="B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x14ac:dyDescent="0.2">
      <c r="A231" s="22"/>
      <c r="B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x14ac:dyDescent="0.2">
      <c r="A232" s="22"/>
      <c r="B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x14ac:dyDescent="0.2">
      <c r="A233" s="22"/>
      <c r="B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x14ac:dyDescent="0.2">
      <c r="A234" s="22"/>
      <c r="B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x14ac:dyDescent="0.2">
      <c r="A235" s="22"/>
      <c r="B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x14ac:dyDescent="0.2">
      <c r="A236" s="22"/>
      <c r="B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x14ac:dyDescent="0.2">
      <c r="A237" s="22"/>
      <c r="B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x14ac:dyDescent="0.2">
      <c r="A238" s="22"/>
      <c r="B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x14ac:dyDescent="0.2">
      <c r="A239" s="22"/>
      <c r="B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x14ac:dyDescent="0.2">
      <c r="A240" s="22"/>
      <c r="B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x14ac:dyDescent="0.2">
      <c r="A241" s="22"/>
      <c r="B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x14ac:dyDescent="0.2">
      <c r="A242" s="22"/>
      <c r="B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x14ac:dyDescent="0.2">
      <c r="A243" s="22"/>
      <c r="B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x14ac:dyDescent="0.2">
      <c r="A244" s="22"/>
      <c r="B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x14ac:dyDescent="0.2">
      <c r="A245" s="22"/>
      <c r="B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x14ac:dyDescent="0.2">
      <c r="A246" s="22"/>
      <c r="B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x14ac:dyDescent="0.2">
      <c r="A247" s="22"/>
      <c r="B247" s="22"/>
      <c r="D247" s="22"/>
      <c r="E247" s="22"/>
      <c r="F247" s="22"/>
      <c r="G247" s="22"/>
      <c r="H247" s="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x14ac:dyDescent="0.2">
      <c r="A248" s="22"/>
      <c r="B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x14ac:dyDescent="0.2">
      <c r="A249" s="22"/>
      <c r="B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x14ac:dyDescent="0.2">
      <c r="A250" s="22"/>
      <c r="B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x14ac:dyDescent="0.2">
      <c r="A251" s="22"/>
      <c r="B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x14ac:dyDescent="0.2">
      <c r="A252" s="22"/>
      <c r="B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x14ac:dyDescent="0.2">
      <c r="A253" s="22"/>
      <c r="B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x14ac:dyDescent="0.2">
      <c r="A254" s="22"/>
      <c r="B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x14ac:dyDescent="0.2">
      <c r="A255" s="22"/>
      <c r="B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x14ac:dyDescent="0.2">
      <c r="A256" s="22"/>
      <c r="B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x14ac:dyDescent="0.2">
      <c r="A257" s="22"/>
      <c r="B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x14ac:dyDescent="0.2">
      <c r="A258" s="22"/>
      <c r="B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x14ac:dyDescent="0.2">
      <c r="A259" s="22"/>
      <c r="B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x14ac:dyDescent="0.2">
      <c r="A260" s="22"/>
      <c r="B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x14ac:dyDescent="0.2">
      <c r="A261" s="22"/>
      <c r="B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x14ac:dyDescent="0.2">
      <c r="A262" s="22"/>
      <c r="B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x14ac:dyDescent="0.2">
      <c r="A263" s="22"/>
      <c r="B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x14ac:dyDescent="0.2">
      <c r="A264" s="22"/>
      <c r="B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x14ac:dyDescent="0.2">
      <c r="A265" s="22"/>
      <c r="B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x14ac:dyDescent="0.2">
      <c r="A266" s="22"/>
      <c r="B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x14ac:dyDescent="0.2">
      <c r="A267" s="22"/>
      <c r="B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x14ac:dyDescent="0.2">
      <c r="A268" s="22"/>
      <c r="B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x14ac:dyDescent="0.2">
      <c r="A269" s="22"/>
      <c r="B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x14ac:dyDescent="0.2">
      <c r="A270" s="22"/>
      <c r="B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x14ac:dyDescent="0.2">
      <c r="A271" s="22"/>
      <c r="B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x14ac:dyDescent="0.2">
      <c r="A272" s="22"/>
      <c r="B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x14ac:dyDescent="0.2">
      <c r="A273" s="22"/>
      <c r="B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x14ac:dyDescent="0.2">
      <c r="A274" s="22"/>
      <c r="B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x14ac:dyDescent="0.2">
      <c r="A275" s="22"/>
      <c r="B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x14ac:dyDescent="0.2">
      <c r="A276" s="22"/>
      <c r="B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x14ac:dyDescent="0.2">
      <c r="A277" s="22"/>
      <c r="B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x14ac:dyDescent="0.2">
      <c r="A278" s="22"/>
      <c r="B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x14ac:dyDescent="0.2">
      <c r="A279" s="22"/>
      <c r="B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x14ac:dyDescent="0.2">
      <c r="A280" s="22"/>
      <c r="B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x14ac:dyDescent="0.2">
      <c r="A281" s="22"/>
      <c r="B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x14ac:dyDescent="0.2">
      <c r="A282" s="22"/>
      <c r="B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x14ac:dyDescent="0.2">
      <c r="A283" s="22"/>
      <c r="B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x14ac:dyDescent="0.2">
      <c r="A284" s="22"/>
      <c r="B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x14ac:dyDescent="0.2">
      <c r="A285" s="22"/>
      <c r="B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x14ac:dyDescent="0.2">
      <c r="A286" s="22"/>
      <c r="B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x14ac:dyDescent="0.2">
      <c r="A287" s="22"/>
      <c r="B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x14ac:dyDescent="0.2">
      <c r="A288" s="22"/>
      <c r="B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x14ac:dyDescent="0.2">
      <c r="A289" s="22"/>
      <c r="B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x14ac:dyDescent="0.2">
      <c r="A290" s="22"/>
      <c r="B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x14ac:dyDescent="0.2">
      <c r="A291" s="22"/>
      <c r="B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x14ac:dyDescent="0.2">
      <c r="A292" s="22"/>
      <c r="B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x14ac:dyDescent="0.2">
      <c r="A293" s="22"/>
      <c r="B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x14ac:dyDescent="0.2">
      <c r="A294" s="22"/>
      <c r="B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x14ac:dyDescent="0.2">
      <c r="A295" s="22"/>
      <c r="B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x14ac:dyDescent="0.2">
      <c r="A296" s="22"/>
      <c r="B296" s="22"/>
      <c r="D296" s="22"/>
      <c r="E296" s="22"/>
      <c r="F296" s="22"/>
      <c r="G296" s="22"/>
      <c r="H296" s="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x14ac:dyDescent="0.2">
      <c r="A297" s="22"/>
      <c r="B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x14ac:dyDescent="0.2">
      <c r="A298" s="22"/>
      <c r="B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x14ac:dyDescent="0.2">
      <c r="A299" s="22"/>
      <c r="B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x14ac:dyDescent="0.2">
      <c r="A300" s="22"/>
      <c r="B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spans="1:30" x14ac:dyDescent="0.2">
      <c r="A301" s="22"/>
      <c r="B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spans="1:30" x14ac:dyDescent="0.2">
      <c r="A302" s="22"/>
      <c r="B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spans="1:30" x14ac:dyDescent="0.2">
      <c r="A303" s="22"/>
      <c r="B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spans="1:30" x14ac:dyDescent="0.2">
      <c r="A304" s="22"/>
      <c r="B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spans="1:30" x14ac:dyDescent="0.2">
      <c r="A305" s="22"/>
      <c r="B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spans="1:30" x14ac:dyDescent="0.2">
      <c r="A306" s="22"/>
      <c r="B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spans="1:30" x14ac:dyDescent="0.2">
      <c r="A307" s="22"/>
      <c r="B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spans="1:30" x14ac:dyDescent="0.2">
      <c r="A308" s="22"/>
      <c r="B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spans="1:30" x14ac:dyDescent="0.2">
      <c r="A309" s="22"/>
      <c r="B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x14ac:dyDescent="0.2">
      <c r="A310" s="22"/>
      <c r="B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spans="1:30" x14ac:dyDescent="0.2">
      <c r="A311" s="22"/>
      <c r="B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spans="1:30" x14ac:dyDescent="0.2">
      <c r="A312" s="22"/>
      <c r="B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spans="1:30" x14ac:dyDescent="0.2">
      <c r="A313" s="22"/>
      <c r="B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spans="1:30" x14ac:dyDescent="0.2">
      <c r="A314" s="22"/>
      <c r="B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spans="1:30" x14ac:dyDescent="0.2">
      <c r="A315" s="22"/>
      <c r="B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spans="1:30" x14ac:dyDescent="0.2">
      <c r="A316" s="22"/>
      <c r="B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spans="1:30" x14ac:dyDescent="0.2">
      <c r="A317" s="22"/>
      <c r="B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spans="1:30" x14ac:dyDescent="0.2">
      <c r="A318" s="22"/>
      <c r="B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spans="1:30" x14ac:dyDescent="0.2">
      <c r="A319" s="22"/>
      <c r="B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spans="1:30" x14ac:dyDescent="0.2">
      <c r="A320" s="22"/>
      <c r="B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spans="1:30" x14ac:dyDescent="0.2">
      <c r="A321" s="22"/>
      <c r="B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spans="1:30" x14ac:dyDescent="0.2">
      <c r="A322" s="22"/>
      <c r="B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spans="1:30" x14ac:dyDescent="0.2">
      <c r="A323" s="22"/>
      <c r="B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spans="1:30" x14ac:dyDescent="0.2">
      <c r="A324" s="22"/>
      <c r="B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spans="1:30" x14ac:dyDescent="0.2">
      <c r="A325" s="22"/>
      <c r="B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spans="1:30" x14ac:dyDescent="0.2">
      <c r="A326" s="22"/>
      <c r="B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spans="1:30" x14ac:dyDescent="0.2">
      <c r="A327" s="22"/>
      <c r="B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spans="1:30" x14ac:dyDescent="0.2">
      <c r="A328" s="22"/>
      <c r="B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spans="1:30" x14ac:dyDescent="0.2">
      <c r="A329" s="22"/>
      <c r="B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spans="1:30" x14ac:dyDescent="0.2">
      <c r="A330" s="22"/>
      <c r="B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spans="1:30" x14ac:dyDescent="0.2">
      <c r="A331" s="22"/>
      <c r="B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spans="1:30" x14ac:dyDescent="0.2">
      <c r="A332" s="22"/>
      <c r="B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spans="1:30" x14ac:dyDescent="0.2">
      <c r="A333" s="22"/>
      <c r="B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spans="1:30" x14ac:dyDescent="0.2">
      <c r="A334" s="22"/>
      <c r="B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spans="1:30" x14ac:dyDescent="0.2">
      <c r="A335" s="22"/>
      <c r="B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spans="1:30" x14ac:dyDescent="0.2">
      <c r="A336" s="22"/>
      <c r="B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spans="1:30" x14ac:dyDescent="0.2">
      <c r="A337" s="22"/>
      <c r="B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spans="1:30" x14ac:dyDescent="0.2">
      <c r="A338" s="22"/>
      <c r="B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spans="1:30" x14ac:dyDescent="0.2">
      <c r="A339" s="22"/>
      <c r="B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spans="1:30" x14ac:dyDescent="0.2">
      <c r="A340" s="22"/>
      <c r="B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spans="1:30" x14ac:dyDescent="0.2">
      <c r="A341" s="22"/>
      <c r="B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spans="1:30" x14ac:dyDescent="0.2">
      <c r="A342" s="22"/>
      <c r="B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spans="1:30" x14ac:dyDescent="0.2">
      <c r="A343" s="22"/>
      <c r="B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spans="1:30" x14ac:dyDescent="0.2">
      <c r="A344" s="22"/>
      <c r="B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spans="1:30" x14ac:dyDescent="0.2">
      <c r="A345" s="22"/>
      <c r="B345" s="22"/>
      <c r="D345" s="22"/>
      <c r="E345" s="22"/>
      <c r="F345" s="22"/>
      <c r="G345" s="22"/>
      <c r="H345" s="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spans="1:30" x14ac:dyDescent="0.2">
      <c r="A346" s="22"/>
      <c r="B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spans="1:30" x14ac:dyDescent="0.2">
      <c r="A347" s="22"/>
      <c r="B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spans="1:30" x14ac:dyDescent="0.2">
      <c r="A348" s="22"/>
      <c r="B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spans="1:30" x14ac:dyDescent="0.2">
      <c r="A349" s="22"/>
      <c r="B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spans="1:30" x14ac:dyDescent="0.2">
      <c r="A350" s="22"/>
      <c r="B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spans="1:30" x14ac:dyDescent="0.2">
      <c r="A351" s="22"/>
      <c r="B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spans="1:30" x14ac:dyDescent="0.2">
      <c r="A352" s="22"/>
      <c r="B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spans="1:30" x14ac:dyDescent="0.2">
      <c r="A353" s="22"/>
      <c r="B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spans="1:30" x14ac:dyDescent="0.2">
      <c r="A354" s="22"/>
      <c r="B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spans="1:30" x14ac:dyDescent="0.2">
      <c r="A355" s="22"/>
      <c r="B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spans="1:30" x14ac:dyDescent="0.2">
      <c r="A356" s="22"/>
      <c r="B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spans="1:30" x14ac:dyDescent="0.2">
      <c r="A357" s="22"/>
      <c r="B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spans="1:30" x14ac:dyDescent="0.2">
      <c r="A358" s="22"/>
      <c r="B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spans="1:30" x14ac:dyDescent="0.2">
      <c r="A359" s="22"/>
      <c r="B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spans="1:30" x14ac:dyDescent="0.2">
      <c r="A360" s="22"/>
      <c r="B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spans="1:30" x14ac:dyDescent="0.2">
      <c r="A361" s="22"/>
      <c r="B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spans="1:30" x14ac:dyDescent="0.2">
      <c r="A362" s="22"/>
      <c r="B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x14ac:dyDescent="0.2">
      <c r="A363" s="22"/>
      <c r="B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x14ac:dyDescent="0.2">
      <c r="A364" s="22"/>
      <c r="B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x14ac:dyDescent="0.2">
      <c r="A365" s="22"/>
      <c r="B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x14ac:dyDescent="0.2">
      <c r="A366" s="22"/>
      <c r="B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x14ac:dyDescent="0.2">
      <c r="A367" s="22"/>
      <c r="B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x14ac:dyDescent="0.2">
      <c r="A368" s="22"/>
      <c r="B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x14ac:dyDescent="0.2">
      <c r="A369" s="22"/>
      <c r="B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x14ac:dyDescent="0.2">
      <c r="A370" s="22"/>
      <c r="B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x14ac:dyDescent="0.2">
      <c r="A371" s="22"/>
      <c r="B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x14ac:dyDescent="0.2">
      <c r="A372" s="22"/>
      <c r="B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x14ac:dyDescent="0.2">
      <c r="A373" s="22"/>
      <c r="B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x14ac:dyDescent="0.2">
      <c r="A374" s="22"/>
      <c r="B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x14ac:dyDescent="0.2">
      <c r="A375" s="22"/>
      <c r="B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x14ac:dyDescent="0.2">
      <c r="A376" s="22"/>
      <c r="B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x14ac:dyDescent="0.2">
      <c r="A377" s="22"/>
      <c r="B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x14ac:dyDescent="0.2">
      <c r="A378" s="22"/>
      <c r="B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x14ac:dyDescent="0.2">
      <c r="A379" s="22"/>
      <c r="B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x14ac:dyDescent="0.2">
      <c r="A380" s="22"/>
      <c r="B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x14ac:dyDescent="0.2">
      <c r="A381" s="22"/>
      <c r="B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x14ac:dyDescent="0.2">
      <c r="A382" s="22"/>
      <c r="B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x14ac:dyDescent="0.2">
      <c r="A383" s="22"/>
      <c r="B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x14ac:dyDescent="0.2">
      <c r="A384" s="22"/>
      <c r="B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x14ac:dyDescent="0.2">
      <c r="A385" s="22"/>
      <c r="B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x14ac:dyDescent="0.2">
      <c r="A386" s="22"/>
      <c r="B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x14ac:dyDescent="0.2">
      <c r="A387" s="22"/>
      <c r="B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x14ac:dyDescent="0.2">
      <c r="A388" s="22"/>
      <c r="B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x14ac:dyDescent="0.2">
      <c r="A389" s="22"/>
      <c r="B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x14ac:dyDescent="0.2">
      <c r="A390" s="22"/>
      <c r="B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x14ac:dyDescent="0.2">
      <c r="A391" s="22"/>
      <c r="B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x14ac:dyDescent="0.2">
      <c r="A392" s="22"/>
      <c r="B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x14ac:dyDescent="0.2">
      <c r="A393" s="22"/>
      <c r="B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x14ac:dyDescent="0.2">
      <c r="A394" s="22"/>
      <c r="B394" s="22"/>
      <c r="D394" s="22"/>
      <c r="E394" s="22"/>
      <c r="F394" s="22"/>
      <c r="G394" s="22"/>
      <c r="H394" s="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x14ac:dyDescent="0.2">
      <c r="A395" s="22"/>
      <c r="B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x14ac:dyDescent="0.2">
      <c r="A396" s="22"/>
      <c r="B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x14ac:dyDescent="0.2">
      <c r="A397" s="22"/>
      <c r="B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x14ac:dyDescent="0.2">
      <c r="A398" s="22"/>
      <c r="B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x14ac:dyDescent="0.2">
      <c r="A399" s="22"/>
      <c r="B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x14ac:dyDescent="0.2">
      <c r="A400" s="22"/>
      <c r="B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x14ac:dyDescent="0.2">
      <c r="A401" s="22"/>
      <c r="B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x14ac:dyDescent="0.2">
      <c r="A402" s="22"/>
      <c r="B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x14ac:dyDescent="0.2">
      <c r="A403" s="22"/>
      <c r="B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x14ac:dyDescent="0.2">
      <c r="A404" s="22"/>
      <c r="B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x14ac:dyDescent="0.2">
      <c r="A405" s="22"/>
      <c r="B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x14ac:dyDescent="0.2">
      <c r="A406" s="22"/>
      <c r="B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x14ac:dyDescent="0.2">
      <c r="A407" s="22"/>
      <c r="B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x14ac:dyDescent="0.2">
      <c r="A408" s="22"/>
      <c r="B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x14ac:dyDescent="0.2">
      <c r="A409" s="22"/>
      <c r="B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x14ac:dyDescent="0.2">
      <c r="A410" s="22"/>
      <c r="B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x14ac:dyDescent="0.2">
      <c r="A411" s="22"/>
      <c r="B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x14ac:dyDescent="0.2">
      <c r="A412" s="22"/>
      <c r="B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x14ac:dyDescent="0.2">
      <c r="A413" s="22"/>
      <c r="B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x14ac:dyDescent="0.2">
      <c r="A414" s="22"/>
      <c r="B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x14ac:dyDescent="0.2">
      <c r="A415" s="22"/>
      <c r="B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x14ac:dyDescent="0.2">
      <c r="A416" s="22"/>
      <c r="B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x14ac:dyDescent="0.2">
      <c r="A417" s="22"/>
      <c r="B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x14ac:dyDescent="0.2">
      <c r="A418" s="22"/>
      <c r="B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x14ac:dyDescent="0.2">
      <c r="A419" s="22"/>
      <c r="B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x14ac:dyDescent="0.2">
      <c r="A420" s="22"/>
      <c r="B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x14ac:dyDescent="0.2">
      <c r="A421" s="22"/>
      <c r="B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x14ac:dyDescent="0.2">
      <c r="A422" s="22"/>
      <c r="B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x14ac:dyDescent="0.2">
      <c r="A423" s="22"/>
      <c r="B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x14ac:dyDescent="0.2">
      <c r="A424" s="22"/>
      <c r="B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x14ac:dyDescent="0.2">
      <c r="A425" s="22"/>
      <c r="B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x14ac:dyDescent="0.2">
      <c r="A426" s="22"/>
      <c r="B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x14ac:dyDescent="0.2">
      <c r="A427" s="22"/>
      <c r="B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x14ac:dyDescent="0.2">
      <c r="A428" s="22"/>
      <c r="B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x14ac:dyDescent="0.2">
      <c r="A429" s="22"/>
      <c r="B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x14ac:dyDescent="0.2">
      <c r="A430" s="22"/>
      <c r="B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x14ac:dyDescent="0.2">
      <c r="A431" s="22"/>
      <c r="B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x14ac:dyDescent="0.2">
      <c r="A432" s="22"/>
      <c r="B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x14ac:dyDescent="0.2">
      <c r="A433" s="22"/>
      <c r="B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x14ac:dyDescent="0.2">
      <c r="A434" s="22"/>
      <c r="B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x14ac:dyDescent="0.2">
      <c r="A435" s="22"/>
      <c r="B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x14ac:dyDescent="0.2">
      <c r="A436" s="22"/>
      <c r="B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x14ac:dyDescent="0.2">
      <c r="A437" s="22"/>
      <c r="B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x14ac:dyDescent="0.2">
      <c r="A438" s="22"/>
      <c r="B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x14ac:dyDescent="0.2">
      <c r="A439" s="22"/>
      <c r="B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x14ac:dyDescent="0.2">
      <c r="A440" s="22"/>
      <c r="B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x14ac:dyDescent="0.2">
      <c r="A441" s="22"/>
      <c r="B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x14ac:dyDescent="0.2">
      <c r="A442" s="22"/>
      <c r="B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x14ac:dyDescent="0.2">
      <c r="A443" s="22"/>
      <c r="B443" s="22"/>
      <c r="D443" s="22"/>
      <c r="E443" s="22"/>
      <c r="F443" s="22"/>
      <c r="G443" s="22"/>
      <c r="H443" s="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x14ac:dyDescent="0.2">
      <c r="A444" s="22"/>
      <c r="B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x14ac:dyDescent="0.2">
      <c r="A445" s="22"/>
      <c r="B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x14ac:dyDescent="0.2">
      <c r="A446" s="22"/>
      <c r="B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x14ac:dyDescent="0.2">
      <c r="A447" s="22"/>
      <c r="B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x14ac:dyDescent="0.2">
      <c r="A448" s="22"/>
      <c r="B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x14ac:dyDescent="0.2">
      <c r="A449" s="22"/>
      <c r="B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x14ac:dyDescent="0.2">
      <c r="A450" s="22"/>
      <c r="B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x14ac:dyDescent="0.2">
      <c r="A451" s="22"/>
      <c r="B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x14ac:dyDescent="0.2">
      <c r="A452" s="22"/>
      <c r="B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x14ac:dyDescent="0.2">
      <c r="A453" s="22"/>
      <c r="B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x14ac:dyDescent="0.2">
      <c r="A454" s="22"/>
      <c r="B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x14ac:dyDescent="0.2">
      <c r="A455" s="22"/>
      <c r="B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x14ac:dyDescent="0.2">
      <c r="A456" s="22"/>
      <c r="B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x14ac:dyDescent="0.2">
      <c r="A457" s="22"/>
      <c r="B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x14ac:dyDescent="0.2">
      <c r="A458" s="22"/>
      <c r="B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x14ac:dyDescent="0.2">
      <c r="A459" s="22"/>
      <c r="B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x14ac:dyDescent="0.2">
      <c r="A460" s="22"/>
      <c r="B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x14ac:dyDescent="0.2">
      <c r="A461" s="22"/>
      <c r="B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x14ac:dyDescent="0.2">
      <c r="A462" s="22"/>
      <c r="B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x14ac:dyDescent="0.2">
      <c r="A463" s="22"/>
      <c r="B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x14ac:dyDescent="0.2">
      <c r="A464" s="22"/>
      <c r="B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x14ac:dyDescent="0.2">
      <c r="A465" s="22"/>
      <c r="B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x14ac:dyDescent="0.2">
      <c r="A466" s="22"/>
      <c r="B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x14ac:dyDescent="0.2">
      <c r="A467" s="22"/>
      <c r="B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x14ac:dyDescent="0.2">
      <c r="A468" s="22"/>
      <c r="B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x14ac:dyDescent="0.2">
      <c r="A469" s="22"/>
      <c r="B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x14ac:dyDescent="0.2">
      <c r="A470" s="22"/>
      <c r="B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x14ac:dyDescent="0.2">
      <c r="A471" s="22"/>
      <c r="B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x14ac:dyDescent="0.2">
      <c r="A472" s="22"/>
      <c r="B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x14ac:dyDescent="0.2">
      <c r="A473" s="22"/>
      <c r="B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x14ac:dyDescent="0.2">
      <c r="A474" s="22"/>
      <c r="B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x14ac:dyDescent="0.2">
      <c r="A475" s="22"/>
      <c r="B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x14ac:dyDescent="0.2">
      <c r="A476" s="22"/>
      <c r="B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x14ac:dyDescent="0.2">
      <c r="A477" s="22"/>
      <c r="B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x14ac:dyDescent="0.2">
      <c r="A478" s="22"/>
      <c r="B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x14ac:dyDescent="0.2">
      <c r="A479" s="22"/>
      <c r="B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x14ac:dyDescent="0.2">
      <c r="A480" s="22"/>
      <c r="B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x14ac:dyDescent="0.2">
      <c r="A481" s="22"/>
      <c r="B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x14ac:dyDescent="0.2">
      <c r="A482" s="22"/>
      <c r="B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x14ac:dyDescent="0.2">
      <c r="A483" s="22"/>
      <c r="B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x14ac:dyDescent="0.2">
      <c r="A484" s="22"/>
      <c r="B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x14ac:dyDescent="0.2">
      <c r="A485" s="22"/>
      <c r="B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x14ac:dyDescent="0.2">
      <c r="A486" s="22"/>
      <c r="B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x14ac:dyDescent="0.2">
      <c r="A487" s="22"/>
      <c r="B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x14ac:dyDescent="0.2">
      <c r="A488" s="22"/>
      <c r="B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x14ac:dyDescent="0.2">
      <c r="A489" s="22"/>
      <c r="B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x14ac:dyDescent="0.2">
      <c r="A490" s="22"/>
      <c r="B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x14ac:dyDescent="0.2">
      <c r="A491" s="22"/>
      <c r="B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x14ac:dyDescent="0.2">
      <c r="A492" s="22"/>
      <c r="B492" s="22"/>
      <c r="D492" s="22"/>
      <c r="E492" s="22"/>
      <c r="F492" s="22"/>
      <c r="G492" s="22"/>
      <c r="H492" s="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x14ac:dyDescent="0.2">
      <c r="A493" s="22"/>
      <c r="B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x14ac:dyDescent="0.2">
      <c r="A494" s="22"/>
      <c r="B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x14ac:dyDescent="0.2">
      <c r="A495" s="22"/>
      <c r="B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x14ac:dyDescent="0.2">
      <c r="A496" s="22"/>
      <c r="B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x14ac:dyDescent="0.2">
      <c r="A497" s="22"/>
      <c r="B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x14ac:dyDescent="0.2">
      <c r="A498" s="22"/>
      <c r="B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x14ac:dyDescent="0.2">
      <c r="A499" s="22"/>
      <c r="B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x14ac:dyDescent="0.2">
      <c r="A500" s="22"/>
      <c r="B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x14ac:dyDescent="0.2">
      <c r="A501" s="22"/>
      <c r="B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x14ac:dyDescent="0.2">
      <c r="A502" s="22"/>
      <c r="B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x14ac:dyDescent="0.2">
      <c r="A503" s="22"/>
      <c r="B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x14ac:dyDescent="0.2">
      <c r="A504" s="22"/>
      <c r="B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x14ac:dyDescent="0.2">
      <c r="A505" s="22"/>
      <c r="B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x14ac:dyDescent="0.2">
      <c r="A506" s="22"/>
      <c r="B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x14ac:dyDescent="0.2">
      <c r="A507" s="22"/>
      <c r="B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x14ac:dyDescent="0.2">
      <c r="A508" s="22"/>
      <c r="B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x14ac:dyDescent="0.2">
      <c r="A509" s="22"/>
      <c r="B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x14ac:dyDescent="0.2">
      <c r="A510" s="22"/>
      <c r="B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x14ac:dyDescent="0.2">
      <c r="A511" s="22"/>
      <c r="B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x14ac:dyDescent="0.2">
      <c r="A512" s="22"/>
      <c r="B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x14ac:dyDescent="0.2">
      <c r="A513" s="22"/>
      <c r="B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x14ac:dyDescent="0.2">
      <c r="A514" s="22"/>
      <c r="B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x14ac:dyDescent="0.2">
      <c r="A515" s="22"/>
      <c r="B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x14ac:dyDescent="0.2">
      <c r="A516" s="22"/>
      <c r="B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x14ac:dyDescent="0.2">
      <c r="A517" s="22"/>
      <c r="B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x14ac:dyDescent="0.2">
      <c r="A518" s="22"/>
      <c r="B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x14ac:dyDescent="0.2">
      <c r="A519" s="22"/>
      <c r="B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x14ac:dyDescent="0.2">
      <c r="A520" s="22"/>
      <c r="B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x14ac:dyDescent="0.2">
      <c r="A521" s="22"/>
      <c r="B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x14ac:dyDescent="0.2">
      <c r="A522" s="22"/>
      <c r="B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x14ac:dyDescent="0.2">
      <c r="A523" s="22"/>
      <c r="B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x14ac:dyDescent="0.2">
      <c r="A524" s="22"/>
      <c r="B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x14ac:dyDescent="0.2">
      <c r="A525" s="22"/>
      <c r="B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x14ac:dyDescent="0.2">
      <c r="A526" s="22"/>
      <c r="B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x14ac:dyDescent="0.2">
      <c r="A527" s="22"/>
      <c r="B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x14ac:dyDescent="0.2">
      <c r="A528" s="22"/>
      <c r="B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x14ac:dyDescent="0.2">
      <c r="A529" s="22"/>
      <c r="B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x14ac:dyDescent="0.2">
      <c r="A530" s="22"/>
      <c r="B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x14ac:dyDescent="0.2">
      <c r="A531" s="22"/>
      <c r="B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x14ac:dyDescent="0.2">
      <c r="A532" s="22"/>
      <c r="B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x14ac:dyDescent="0.2">
      <c r="A533" s="22"/>
      <c r="B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x14ac:dyDescent="0.2">
      <c r="A534" s="22"/>
      <c r="B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x14ac:dyDescent="0.2">
      <c r="A535" s="22"/>
      <c r="B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x14ac:dyDescent="0.2">
      <c r="A536" s="22"/>
      <c r="B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x14ac:dyDescent="0.2">
      <c r="A537" s="22"/>
      <c r="B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x14ac:dyDescent="0.2">
      <c r="A538" s="22"/>
      <c r="B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x14ac:dyDescent="0.2">
      <c r="A539" s="22"/>
      <c r="B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x14ac:dyDescent="0.2">
      <c r="A540" s="22"/>
      <c r="B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x14ac:dyDescent="0.2">
      <c r="A541" s="22"/>
      <c r="B541" s="22"/>
      <c r="D541" s="22"/>
      <c r="E541" s="22"/>
      <c r="F541" s="22"/>
      <c r="G541" s="22"/>
      <c r="H541" s="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x14ac:dyDescent="0.2">
      <c r="A542" s="22"/>
      <c r="B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x14ac:dyDescent="0.2">
      <c r="A543" s="22"/>
      <c r="B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x14ac:dyDescent="0.2">
      <c r="A544" s="22"/>
      <c r="B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x14ac:dyDescent="0.2">
      <c r="A545" s="22"/>
      <c r="B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x14ac:dyDescent="0.2">
      <c r="A546" s="22"/>
      <c r="B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x14ac:dyDescent="0.2">
      <c r="A547" s="22"/>
      <c r="B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x14ac:dyDescent="0.2">
      <c r="A548" s="22"/>
      <c r="B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x14ac:dyDescent="0.2">
      <c r="A549" s="22"/>
      <c r="B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x14ac:dyDescent="0.2">
      <c r="A550" s="22"/>
      <c r="B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x14ac:dyDescent="0.2">
      <c r="A551" s="22"/>
      <c r="B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x14ac:dyDescent="0.2">
      <c r="A552" s="22"/>
      <c r="B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x14ac:dyDescent="0.2">
      <c r="A553" s="22"/>
      <c r="B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x14ac:dyDescent="0.2">
      <c r="A554" s="22"/>
      <c r="B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x14ac:dyDescent="0.2">
      <c r="A555" s="22"/>
      <c r="B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x14ac:dyDescent="0.2">
      <c r="A556" s="22"/>
      <c r="B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x14ac:dyDescent="0.2">
      <c r="A557" s="22"/>
      <c r="B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x14ac:dyDescent="0.2">
      <c r="A558" s="22"/>
      <c r="B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x14ac:dyDescent="0.2">
      <c r="A559" s="22"/>
      <c r="B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x14ac:dyDescent="0.2">
      <c r="A560" s="22"/>
      <c r="B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x14ac:dyDescent="0.2">
      <c r="A561" s="22"/>
      <c r="B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x14ac:dyDescent="0.2">
      <c r="A562" s="22"/>
      <c r="B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x14ac:dyDescent="0.2">
      <c r="A563" s="22"/>
      <c r="B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x14ac:dyDescent="0.2">
      <c r="A564" s="22"/>
      <c r="B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x14ac:dyDescent="0.2">
      <c r="A565" s="22"/>
      <c r="B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x14ac:dyDescent="0.2">
      <c r="A566" s="22"/>
      <c r="B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x14ac:dyDescent="0.2">
      <c r="A567" s="22"/>
      <c r="B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x14ac:dyDescent="0.2">
      <c r="A568" s="22"/>
      <c r="B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x14ac:dyDescent="0.2">
      <c r="A569" s="22"/>
      <c r="B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x14ac:dyDescent="0.2">
      <c r="A570" s="22"/>
      <c r="B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x14ac:dyDescent="0.2">
      <c r="A571" s="22"/>
      <c r="B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x14ac:dyDescent="0.2">
      <c r="A572" s="22"/>
      <c r="B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x14ac:dyDescent="0.2">
      <c r="A573" s="22"/>
      <c r="B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x14ac:dyDescent="0.2">
      <c r="A574" s="22"/>
      <c r="B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x14ac:dyDescent="0.2">
      <c r="A575" s="22"/>
      <c r="B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x14ac:dyDescent="0.2">
      <c r="A576" s="22"/>
      <c r="B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x14ac:dyDescent="0.2">
      <c r="A577" s="22"/>
      <c r="B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x14ac:dyDescent="0.2">
      <c r="A578" s="22"/>
      <c r="B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x14ac:dyDescent="0.2">
      <c r="A579" s="22"/>
      <c r="B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x14ac:dyDescent="0.2">
      <c r="A580" s="22"/>
      <c r="B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x14ac:dyDescent="0.2">
      <c r="A581" s="22"/>
      <c r="B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x14ac:dyDescent="0.2">
      <c r="A582" s="22"/>
      <c r="B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x14ac:dyDescent="0.2">
      <c r="A583" s="22"/>
      <c r="B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x14ac:dyDescent="0.2">
      <c r="A584" s="22"/>
      <c r="B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x14ac:dyDescent="0.2">
      <c r="A585" s="22"/>
      <c r="B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x14ac:dyDescent="0.2">
      <c r="A586" s="22"/>
      <c r="B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x14ac:dyDescent="0.2">
      <c r="A587" s="22"/>
      <c r="B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x14ac:dyDescent="0.2">
      <c r="A588" s="22"/>
      <c r="B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x14ac:dyDescent="0.2">
      <c r="A589" s="22"/>
      <c r="B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x14ac:dyDescent="0.2">
      <c r="A590" s="22"/>
      <c r="B590" s="22"/>
      <c r="D590" s="22"/>
      <c r="E590" s="22"/>
      <c r="F590" s="22"/>
      <c r="G590" s="22"/>
      <c r="H590" s="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x14ac:dyDescent="0.2">
      <c r="A591" s="22"/>
      <c r="B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x14ac:dyDescent="0.2">
      <c r="A592" s="22"/>
      <c r="B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x14ac:dyDescent="0.2">
      <c r="A593" s="22"/>
      <c r="B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x14ac:dyDescent="0.2">
      <c r="A594" s="22"/>
      <c r="B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x14ac:dyDescent="0.2">
      <c r="A595" s="22"/>
      <c r="B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x14ac:dyDescent="0.2">
      <c r="A596" s="22"/>
      <c r="B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x14ac:dyDescent="0.2">
      <c r="A597" s="22"/>
      <c r="B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x14ac:dyDescent="0.2">
      <c r="A598" s="22"/>
      <c r="B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x14ac:dyDescent="0.2">
      <c r="A599" s="22"/>
      <c r="B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x14ac:dyDescent="0.2">
      <c r="A600" s="22"/>
      <c r="B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x14ac:dyDescent="0.2">
      <c r="A601" s="22"/>
      <c r="B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x14ac:dyDescent="0.2">
      <c r="A602" s="22"/>
      <c r="B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x14ac:dyDescent="0.2">
      <c r="A603" s="22"/>
      <c r="B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x14ac:dyDescent="0.2">
      <c r="A604" s="22"/>
      <c r="B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x14ac:dyDescent="0.2">
      <c r="A605" s="22"/>
      <c r="B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x14ac:dyDescent="0.2">
      <c r="A606" s="22"/>
      <c r="B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x14ac:dyDescent="0.2">
      <c r="A607" s="22"/>
      <c r="B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x14ac:dyDescent="0.2">
      <c r="A608" s="22"/>
      <c r="B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x14ac:dyDescent="0.2">
      <c r="A609" s="22"/>
      <c r="B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x14ac:dyDescent="0.2">
      <c r="A610" s="22"/>
      <c r="B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x14ac:dyDescent="0.2">
      <c r="A611" s="22"/>
      <c r="B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x14ac:dyDescent="0.2">
      <c r="A612" s="22"/>
      <c r="B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x14ac:dyDescent="0.2">
      <c r="A613" s="22"/>
      <c r="B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x14ac:dyDescent="0.2">
      <c r="A614" s="22"/>
      <c r="B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x14ac:dyDescent="0.2">
      <c r="A615" s="22"/>
      <c r="B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x14ac:dyDescent="0.2">
      <c r="A616" s="22"/>
      <c r="B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x14ac:dyDescent="0.2">
      <c r="A617" s="22"/>
      <c r="B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x14ac:dyDescent="0.2">
      <c r="A618" s="22"/>
      <c r="B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x14ac:dyDescent="0.2">
      <c r="A619" s="22"/>
      <c r="B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x14ac:dyDescent="0.2">
      <c r="A620" s="22"/>
      <c r="B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x14ac:dyDescent="0.2">
      <c r="A621" s="22"/>
      <c r="B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x14ac:dyDescent="0.2">
      <c r="A622" s="22"/>
      <c r="B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x14ac:dyDescent="0.2">
      <c r="A623" s="22"/>
      <c r="B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x14ac:dyDescent="0.2">
      <c r="A624" s="22"/>
      <c r="B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x14ac:dyDescent="0.2">
      <c r="A625" s="22"/>
      <c r="B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x14ac:dyDescent="0.2">
      <c r="A626" s="22"/>
      <c r="B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x14ac:dyDescent="0.2">
      <c r="A627" s="22"/>
      <c r="B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x14ac:dyDescent="0.2">
      <c r="A628" s="22"/>
      <c r="B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x14ac:dyDescent="0.2">
      <c r="A629" s="22"/>
      <c r="B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x14ac:dyDescent="0.2">
      <c r="A630" s="22"/>
      <c r="B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x14ac:dyDescent="0.2">
      <c r="A631" s="22"/>
      <c r="B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x14ac:dyDescent="0.2">
      <c r="A632" s="22"/>
      <c r="B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x14ac:dyDescent="0.2">
      <c r="A633" s="22"/>
      <c r="B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x14ac:dyDescent="0.2">
      <c r="A634" s="22"/>
      <c r="B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x14ac:dyDescent="0.2">
      <c r="A635" s="22"/>
      <c r="B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x14ac:dyDescent="0.2">
      <c r="A636" s="22"/>
      <c r="B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x14ac:dyDescent="0.2">
      <c r="A637" s="22"/>
      <c r="B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x14ac:dyDescent="0.2">
      <c r="A638" s="22"/>
      <c r="B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x14ac:dyDescent="0.2">
      <c r="A639" s="22"/>
      <c r="B639" s="22"/>
      <c r="D639" s="22"/>
      <c r="E639" s="22"/>
      <c r="F639" s="22"/>
      <c r="G639" s="22"/>
      <c r="H639" s="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x14ac:dyDescent="0.2">
      <c r="A640" s="22"/>
      <c r="B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x14ac:dyDescent="0.2">
      <c r="A641" s="22"/>
      <c r="B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x14ac:dyDescent="0.2">
      <c r="A642" s="22"/>
      <c r="B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x14ac:dyDescent="0.2">
      <c r="A643" s="22"/>
      <c r="B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x14ac:dyDescent="0.2">
      <c r="A644" s="22"/>
      <c r="B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x14ac:dyDescent="0.2">
      <c r="A645" s="22"/>
      <c r="B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x14ac:dyDescent="0.2">
      <c r="A646" s="22"/>
      <c r="B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x14ac:dyDescent="0.2">
      <c r="A647" s="22"/>
      <c r="B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x14ac:dyDescent="0.2">
      <c r="A648" s="22"/>
      <c r="B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x14ac:dyDescent="0.2">
      <c r="A649" s="22"/>
      <c r="B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x14ac:dyDescent="0.2">
      <c r="A650" s="22"/>
      <c r="B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x14ac:dyDescent="0.2">
      <c r="A651" s="22"/>
      <c r="B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x14ac:dyDescent="0.2">
      <c r="A652" s="22"/>
      <c r="B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x14ac:dyDescent="0.2">
      <c r="A653" s="22"/>
      <c r="B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x14ac:dyDescent="0.2">
      <c r="A654" s="22"/>
      <c r="B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x14ac:dyDescent="0.2">
      <c r="A655" s="22"/>
      <c r="B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x14ac:dyDescent="0.2">
      <c r="A656" s="22"/>
      <c r="B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x14ac:dyDescent="0.2">
      <c r="A657" s="22"/>
      <c r="B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x14ac:dyDescent="0.2">
      <c r="A658" s="22"/>
      <c r="B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x14ac:dyDescent="0.2">
      <c r="A659" s="22"/>
      <c r="B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x14ac:dyDescent="0.2">
      <c r="A660" s="22"/>
      <c r="B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x14ac:dyDescent="0.2">
      <c r="A661" s="22"/>
      <c r="B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x14ac:dyDescent="0.2">
      <c r="A662" s="22"/>
      <c r="B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x14ac:dyDescent="0.2">
      <c r="A663" s="22"/>
      <c r="B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x14ac:dyDescent="0.2">
      <c r="A664" s="22"/>
      <c r="B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x14ac:dyDescent="0.2">
      <c r="A665" s="22"/>
      <c r="B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x14ac:dyDescent="0.2">
      <c r="A666" s="22"/>
      <c r="B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x14ac:dyDescent="0.2">
      <c r="A667" s="22"/>
      <c r="B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x14ac:dyDescent="0.2">
      <c r="A668" s="22"/>
      <c r="B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x14ac:dyDescent="0.2">
      <c r="A669" s="22"/>
      <c r="B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x14ac:dyDescent="0.2">
      <c r="A670" s="22"/>
      <c r="B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x14ac:dyDescent="0.2">
      <c r="A671" s="22"/>
      <c r="B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x14ac:dyDescent="0.2">
      <c r="A672" s="22"/>
      <c r="B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x14ac:dyDescent="0.2">
      <c r="A673" s="22"/>
      <c r="B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x14ac:dyDescent="0.2">
      <c r="A674" s="22"/>
      <c r="B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x14ac:dyDescent="0.2">
      <c r="A675" s="22"/>
      <c r="B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x14ac:dyDescent="0.2">
      <c r="A676" s="22"/>
      <c r="B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x14ac:dyDescent="0.2">
      <c r="A677" s="22"/>
      <c r="B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x14ac:dyDescent="0.2">
      <c r="A678" s="22"/>
      <c r="B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x14ac:dyDescent="0.2">
      <c r="A679" s="22"/>
      <c r="B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x14ac:dyDescent="0.2">
      <c r="A680" s="22"/>
      <c r="B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x14ac:dyDescent="0.2">
      <c r="A681" s="22"/>
      <c r="B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x14ac:dyDescent="0.2">
      <c r="A682" s="22"/>
      <c r="B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x14ac:dyDescent="0.2">
      <c r="A683" s="22"/>
      <c r="B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x14ac:dyDescent="0.2">
      <c r="A684" s="22"/>
      <c r="B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x14ac:dyDescent="0.2">
      <c r="A685" s="22"/>
      <c r="B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x14ac:dyDescent="0.2">
      <c r="A686" s="22"/>
      <c r="B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x14ac:dyDescent="0.2">
      <c r="A687" s="22"/>
      <c r="B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x14ac:dyDescent="0.2">
      <c r="A688" s="22"/>
      <c r="B688" s="22"/>
      <c r="D688" s="22"/>
      <c r="E688" s="22"/>
      <c r="F688" s="22"/>
      <c r="G688" s="22"/>
      <c r="H688" s="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x14ac:dyDescent="0.2">
      <c r="A689" s="22"/>
      <c r="B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x14ac:dyDescent="0.2">
      <c r="A690" s="22"/>
      <c r="B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x14ac:dyDescent="0.2">
      <c r="A691" s="22"/>
      <c r="B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x14ac:dyDescent="0.2">
      <c r="A692" s="22"/>
      <c r="B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x14ac:dyDescent="0.2">
      <c r="A693" s="22"/>
      <c r="B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x14ac:dyDescent="0.2">
      <c r="A694" s="22"/>
      <c r="B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x14ac:dyDescent="0.2">
      <c r="A695" s="22"/>
      <c r="B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x14ac:dyDescent="0.2">
      <c r="A696" s="22"/>
      <c r="B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x14ac:dyDescent="0.2">
      <c r="A697" s="22"/>
      <c r="B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x14ac:dyDescent="0.2">
      <c r="A698" s="22"/>
      <c r="B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x14ac:dyDescent="0.2">
      <c r="A699" s="22"/>
      <c r="B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x14ac:dyDescent="0.2">
      <c r="A700" s="22"/>
      <c r="B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x14ac:dyDescent="0.2">
      <c r="A701" s="22"/>
      <c r="B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x14ac:dyDescent="0.2">
      <c r="A702" s="22"/>
      <c r="B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x14ac:dyDescent="0.2">
      <c r="A703" s="22"/>
      <c r="B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x14ac:dyDescent="0.2">
      <c r="A704" s="22"/>
      <c r="B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x14ac:dyDescent="0.2">
      <c r="A705" s="22"/>
      <c r="B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x14ac:dyDescent="0.2">
      <c r="A706" s="22"/>
      <c r="B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x14ac:dyDescent="0.2">
      <c r="A707" s="22"/>
      <c r="B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x14ac:dyDescent="0.2">
      <c r="A708" s="22"/>
      <c r="B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x14ac:dyDescent="0.2">
      <c r="A709" s="22"/>
      <c r="B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x14ac:dyDescent="0.2">
      <c r="A710" s="22"/>
      <c r="B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x14ac:dyDescent="0.2">
      <c r="A711" s="22"/>
      <c r="B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x14ac:dyDescent="0.2">
      <c r="A712" s="22"/>
      <c r="B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x14ac:dyDescent="0.2">
      <c r="A713" s="22"/>
      <c r="B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x14ac:dyDescent="0.2">
      <c r="A714" s="22"/>
      <c r="B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x14ac:dyDescent="0.2">
      <c r="A715" s="22"/>
      <c r="B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x14ac:dyDescent="0.2">
      <c r="A716" s="22"/>
      <c r="B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x14ac:dyDescent="0.2">
      <c r="A717" s="22"/>
      <c r="B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x14ac:dyDescent="0.2">
      <c r="A718" s="22"/>
      <c r="B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x14ac:dyDescent="0.2">
      <c r="A719" s="22"/>
      <c r="B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x14ac:dyDescent="0.2">
      <c r="A720" s="22"/>
      <c r="B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x14ac:dyDescent="0.2">
      <c r="A721" s="22"/>
      <c r="B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x14ac:dyDescent="0.2">
      <c r="A722" s="22"/>
      <c r="B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x14ac:dyDescent="0.2">
      <c r="A723" s="22"/>
      <c r="B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x14ac:dyDescent="0.2">
      <c r="A724" s="22"/>
      <c r="B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x14ac:dyDescent="0.2">
      <c r="A725" s="22"/>
      <c r="B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x14ac:dyDescent="0.2">
      <c r="A726" s="22"/>
      <c r="B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x14ac:dyDescent="0.2">
      <c r="A727" s="22"/>
      <c r="B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x14ac:dyDescent="0.2">
      <c r="A728" s="22"/>
      <c r="B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x14ac:dyDescent="0.2">
      <c r="A729" s="22"/>
      <c r="B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x14ac:dyDescent="0.2">
      <c r="A730" s="22"/>
      <c r="B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x14ac:dyDescent="0.2">
      <c r="A731" s="22"/>
      <c r="B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x14ac:dyDescent="0.2">
      <c r="A732" s="22"/>
      <c r="B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x14ac:dyDescent="0.2">
      <c r="A733" s="22"/>
      <c r="B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x14ac:dyDescent="0.2">
      <c r="A734" s="22"/>
      <c r="B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x14ac:dyDescent="0.2">
      <c r="A735" s="22"/>
      <c r="B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x14ac:dyDescent="0.2">
      <c r="A736" s="22"/>
      <c r="B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x14ac:dyDescent="0.2">
      <c r="A737" s="22"/>
      <c r="B737" s="22"/>
      <c r="D737" s="22"/>
      <c r="E737" s="22"/>
      <c r="F737" s="22"/>
      <c r="G737" s="22"/>
      <c r="H737" s="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x14ac:dyDescent="0.2">
      <c r="A738" s="22"/>
      <c r="B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x14ac:dyDescent="0.2">
      <c r="A739" s="22"/>
      <c r="B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x14ac:dyDescent="0.2">
      <c r="A740" s="22"/>
      <c r="B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x14ac:dyDescent="0.2">
      <c r="A741" s="22"/>
      <c r="B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x14ac:dyDescent="0.2">
      <c r="A742" s="22"/>
      <c r="B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x14ac:dyDescent="0.2">
      <c r="A743" s="22"/>
      <c r="B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x14ac:dyDescent="0.2">
      <c r="A744" s="22"/>
      <c r="B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x14ac:dyDescent="0.2">
      <c r="A745" s="22"/>
      <c r="B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x14ac:dyDescent="0.2">
      <c r="A746" s="22"/>
      <c r="B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x14ac:dyDescent="0.2">
      <c r="A747" s="22"/>
      <c r="B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x14ac:dyDescent="0.2">
      <c r="A748" s="22"/>
      <c r="B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x14ac:dyDescent="0.2">
      <c r="A749" s="22"/>
      <c r="B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x14ac:dyDescent="0.2">
      <c r="A750" s="22"/>
      <c r="B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x14ac:dyDescent="0.2">
      <c r="A751" s="22"/>
      <c r="B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x14ac:dyDescent="0.2">
      <c r="A752" s="22"/>
      <c r="B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x14ac:dyDescent="0.2">
      <c r="A753" s="22"/>
      <c r="B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x14ac:dyDescent="0.2">
      <c r="A754" s="22"/>
      <c r="B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x14ac:dyDescent="0.2">
      <c r="A755" s="22"/>
      <c r="B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x14ac:dyDescent="0.2">
      <c r="A756" s="22"/>
      <c r="B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x14ac:dyDescent="0.2">
      <c r="A757" s="22"/>
      <c r="B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x14ac:dyDescent="0.2">
      <c r="A758" s="22"/>
      <c r="B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x14ac:dyDescent="0.2">
      <c r="A759" s="22"/>
      <c r="B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x14ac:dyDescent="0.2">
      <c r="A760" s="22"/>
      <c r="B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x14ac:dyDescent="0.2">
      <c r="A761" s="22"/>
      <c r="B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x14ac:dyDescent="0.2">
      <c r="A762" s="22"/>
      <c r="B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x14ac:dyDescent="0.2">
      <c r="A763" s="22"/>
      <c r="B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x14ac:dyDescent="0.2">
      <c r="A764" s="22"/>
      <c r="B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x14ac:dyDescent="0.2">
      <c r="A765" s="22"/>
      <c r="B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x14ac:dyDescent="0.2">
      <c r="A766" s="22"/>
      <c r="B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x14ac:dyDescent="0.2">
      <c r="A767" s="22"/>
      <c r="B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x14ac:dyDescent="0.2">
      <c r="A768" s="22"/>
      <c r="B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x14ac:dyDescent="0.2">
      <c r="A769" s="22"/>
      <c r="B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x14ac:dyDescent="0.2">
      <c r="A770" s="22"/>
      <c r="B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x14ac:dyDescent="0.2">
      <c r="A771" s="22"/>
      <c r="B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x14ac:dyDescent="0.2">
      <c r="A772" s="22"/>
      <c r="B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x14ac:dyDescent="0.2">
      <c r="A773" s="22"/>
      <c r="B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x14ac:dyDescent="0.2">
      <c r="A774" s="22"/>
      <c r="B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x14ac:dyDescent="0.2">
      <c r="A775" s="22"/>
      <c r="B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x14ac:dyDescent="0.2">
      <c r="A776" s="22"/>
      <c r="B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x14ac:dyDescent="0.2">
      <c r="A777" s="22"/>
      <c r="B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x14ac:dyDescent="0.2">
      <c r="A778" s="22"/>
      <c r="B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x14ac:dyDescent="0.2">
      <c r="A779" s="22"/>
      <c r="B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x14ac:dyDescent="0.2">
      <c r="A780" s="22"/>
      <c r="B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x14ac:dyDescent="0.2">
      <c r="A781" s="22"/>
      <c r="B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x14ac:dyDescent="0.2">
      <c r="A782" s="22"/>
      <c r="B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x14ac:dyDescent="0.2">
      <c r="A783" s="22"/>
      <c r="B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x14ac:dyDescent="0.2">
      <c r="A784" s="22"/>
      <c r="B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x14ac:dyDescent="0.2">
      <c r="A785" s="22"/>
      <c r="B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x14ac:dyDescent="0.2">
      <c r="A786" s="22"/>
      <c r="B786" s="22"/>
      <c r="D786" s="22"/>
      <c r="E786" s="22"/>
      <c r="F786" s="22"/>
      <c r="G786" s="22"/>
      <c r="H786" s="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x14ac:dyDescent="0.2">
      <c r="A787" s="22"/>
      <c r="B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x14ac:dyDescent="0.2">
      <c r="A788" s="22"/>
      <c r="B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x14ac:dyDescent="0.2">
      <c r="A789" s="22"/>
      <c r="B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x14ac:dyDescent="0.2">
      <c r="A790" s="22"/>
      <c r="B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x14ac:dyDescent="0.2">
      <c r="A791" s="22"/>
      <c r="B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x14ac:dyDescent="0.2">
      <c r="A792" s="22"/>
      <c r="B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x14ac:dyDescent="0.2">
      <c r="A793" s="22"/>
      <c r="B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x14ac:dyDescent="0.2">
      <c r="A794" s="22"/>
      <c r="B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x14ac:dyDescent="0.2">
      <c r="A795" s="22"/>
      <c r="B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x14ac:dyDescent="0.2">
      <c r="A796" s="22"/>
      <c r="B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x14ac:dyDescent="0.2">
      <c r="A797" s="22"/>
      <c r="B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x14ac:dyDescent="0.2">
      <c r="A798" s="22"/>
      <c r="B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x14ac:dyDescent="0.2">
      <c r="A799" s="22"/>
      <c r="B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x14ac:dyDescent="0.2">
      <c r="A800" s="22"/>
      <c r="B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x14ac:dyDescent="0.2">
      <c r="A801" s="22"/>
      <c r="B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x14ac:dyDescent="0.2">
      <c r="A802" s="22"/>
      <c r="B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x14ac:dyDescent="0.2">
      <c r="A803" s="22"/>
      <c r="B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x14ac:dyDescent="0.2">
      <c r="A804" s="22"/>
      <c r="B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x14ac:dyDescent="0.2">
      <c r="A805" s="22"/>
      <c r="B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x14ac:dyDescent="0.2">
      <c r="A806" s="22"/>
      <c r="B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x14ac:dyDescent="0.2">
      <c r="A807" s="22"/>
      <c r="B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x14ac:dyDescent="0.2">
      <c r="A808" s="22"/>
      <c r="B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x14ac:dyDescent="0.2">
      <c r="A809" s="22"/>
      <c r="B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x14ac:dyDescent="0.2">
      <c r="A810" s="22"/>
      <c r="B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x14ac:dyDescent="0.2">
      <c r="A811" s="22"/>
      <c r="B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x14ac:dyDescent="0.2">
      <c r="A812" s="22"/>
      <c r="B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x14ac:dyDescent="0.2">
      <c r="A813" s="22"/>
      <c r="B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x14ac:dyDescent="0.2">
      <c r="A814" s="22"/>
      <c r="B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x14ac:dyDescent="0.2">
      <c r="A815" s="22"/>
      <c r="B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x14ac:dyDescent="0.2">
      <c r="A816" s="22"/>
      <c r="B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x14ac:dyDescent="0.2">
      <c r="A817" s="22"/>
      <c r="B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x14ac:dyDescent="0.2">
      <c r="A818" s="22"/>
      <c r="B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x14ac:dyDescent="0.2">
      <c r="A819" s="22"/>
      <c r="B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x14ac:dyDescent="0.2">
      <c r="A820" s="22"/>
      <c r="B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x14ac:dyDescent="0.2">
      <c r="A821" s="22"/>
      <c r="B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x14ac:dyDescent="0.2">
      <c r="A822" s="22"/>
      <c r="B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x14ac:dyDescent="0.2">
      <c r="A823" s="22"/>
      <c r="B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x14ac:dyDescent="0.2">
      <c r="A824" s="22"/>
      <c r="B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x14ac:dyDescent="0.2">
      <c r="A825" s="22"/>
      <c r="B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x14ac:dyDescent="0.2">
      <c r="A826" s="22"/>
      <c r="B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x14ac:dyDescent="0.2">
      <c r="A827" s="22"/>
      <c r="B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x14ac:dyDescent="0.2">
      <c r="A828" s="22"/>
      <c r="B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x14ac:dyDescent="0.2">
      <c r="A829" s="22"/>
      <c r="B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x14ac:dyDescent="0.2">
      <c r="A830" s="22"/>
      <c r="B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x14ac:dyDescent="0.2">
      <c r="A831" s="22"/>
      <c r="B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x14ac:dyDescent="0.2">
      <c r="A832" s="22"/>
      <c r="B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x14ac:dyDescent="0.2">
      <c r="A833" s="22"/>
      <c r="B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x14ac:dyDescent="0.2">
      <c r="A834" s="22"/>
      <c r="B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x14ac:dyDescent="0.2">
      <c r="A835" s="22"/>
      <c r="B835" s="22"/>
      <c r="D835" s="22"/>
      <c r="E835" s="22"/>
      <c r="F835" s="22"/>
      <c r="G835" s="22"/>
      <c r="H835" s="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x14ac:dyDescent="0.2">
      <c r="A836" s="22"/>
      <c r="B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x14ac:dyDescent="0.2">
      <c r="A837" s="22"/>
      <c r="B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x14ac:dyDescent="0.2">
      <c r="A838" s="22"/>
      <c r="B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x14ac:dyDescent="0.2">
      <c r="A839" s="22"/>
      <c r="B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x14ac:dyDescent="0.2">
      <c r="A840" s="22"/>
      <c r="B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x14ac:dyDescent="0.2">
      <c r="A841" s="22"/>
      <c r="B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x14ac:dyDescent="0.2">
      <c r="A842" s="22"/>
      <c r="B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x14ac:dyDescent="0.2">
      <c r="A843" s="22"/>
      <c r="B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x14ac:dyDescent="0.2">
      <c r="A844" s="22"/>
      <c r="B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x14ac:dyDescent="0.2">
      <c r="A845" s="22"/>
      <c r="B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x14ac:dyDescent="0.2">
      <c r="A846" s="22"/>
      <c r="B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x14ac:dyDescent="0.2">
      <c r="A847" s="22"/>
      <c r="B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x14ac:dyDescent="0.2">
      <c r="A848" s="22"/>
      <c r="B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x14ac:dyDescent="0.2">
      <c r="A849" s="22"/>
      <c r="B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x14ac:dyDescent="0.2">
      <c r="A850" s="22"/>
      <c r="B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x14ac:dyDescent="0.2">
      <c r="A851" s="22"/>
      <c r="B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x14ac:dyDescent="0.2">
      <c r="A852" s="22"/>
      <c r="B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x14ac:dyDescent="0.2">
      <c r="A853" s="22"/>
      <c r="B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x14ac:dyDescent="0.2">
      <c r="A854" s="22"/>
      <c r="B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x14ac:dyDescent="0.2">
      <c r="A855" s="22"/>
      <c r="B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x14ac:dyDescent="0.2">
      <c r="A856" s="22"/>
      <c r="B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x14ac:dyDescent="0.2">
      <c r="A857" s="22"/>
      <c r="B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x14ac:dyDescent="0.2">
      <c r="A858" s="22"/>
      <c r="B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x14ac:dyDescent="0.2">
      <c r="A859" s="22"/>
      <c r="B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x14ac:dyDescent="0.2">
      <c r="A860" s="22"/>
      <c r="B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x14ac:dyDescent="0.2">
      <c r="A861" s="22"/>
      <c r="B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x14ac:dyDescent="0.2">
      <c r="A862" s="22"/>
      <c r="B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x14ac:dyDescent="0.2">
      <c r="A863" s="22"/>
      <c r="B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x14ac:dyDescent="0.2">
      <c r="A864" s="22"/>
      <c r="B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x14ac:dyDescent="0.2">
      <c r="A865" s="22"/>
      <c r="B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x14ac:dyDescent="0.2">
      <c r="A866" s="22"/>
      <c r="B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x14ac:dyDescent="0.2">
      <c r="A867" s="22"/>
      <c r="B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x14ac:dyDescent="0.2">
      <c r="A868" s="22"/>
      <c r="B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x14ac:dyDescent="0.2">
      <c r="A869" s="22"/>
      <c r="B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x14ac:dyDescent="0.2">
      <c r="A870" s="22"/>
      <c r="B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x14ac:dyDescent="0.2">
      <c r="A871" s="22"/>
      <c r="B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x14ac:dyDescent="0.2">
      <c r="A872" s="22"/>
      <c r="B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x14ac:dyDescent="0.2">
      <c r="A873" s="22"/>
      <c r="B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x14ac:dyDescent="0.2">
      <c r="A874" s="22"/>
      <c r="B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x14ac:dyDescent="0.2">
      <c r="A875" s="22"/>
      <c r="B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x14ac:dyDescent="0.2">
      <c r="A876" s="22"/>
      <c r="B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x14ac:dyDescent="0.2">
      <c r="A877" s="22"/>
      <c r="B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x14ac:dyDescent="0.2">
      <c r="A878" s="22"/>
      <c r="B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x14ac:dyDescent="0.2">
      <c r="A879" s="22"/>
      <c r="B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x14ac:dyDescent="0.2">
      <c r="A880" s="22"/>
      <c r="B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x14ac:dyDescent="0.2">
      <c r="A881" s="22"/>
      <c r="B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x14ac:dyDescent="0.2">
      <c r="A882" s="22"/>
      <c r="B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x14ac:dyDescent="0.2">
      <c r="A883" s="22"/>
      <c r="B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x14ac:dyDescent="0.2">
      <c r="A884" s="22"/>
      <c r="B884" s="22"/>
      <c r="D884" s="22"/>
      <c r="E884" s="22"/>
      <c r="F884" s="22"/>
      <c r="G884" s="22"/>
      <c r="H884" s="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x14ac:dyDescent="0.2">
      <c r="A885" s="22"/>
      <c r="B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x14ac:dyDescent="0.2">
      <c r="A886" s="22"/>
      <c r="B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x14ac:dyDescent="0.2">
      <c r="A887" s="22"/>
      <c r="B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x14ac:dyDescent="0.2">
      <c r="A888" s="22"/>
      <c r="B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x14ac:dyDescent="0.2">
      <c r="A889" s="22"/>
      <c r="B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x14ac:dyDescent="0.2">
      <c r="A890" s="22"/>
      <c r="B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x14ac:dyDescent="0.2">
      <c r="A891" s="22"/>
      <c r="B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x14ac:dyDescent="0.2">
      <c r="A892" s="22"/>
      <c r="B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x14ac:dyDescent="0.2">
      <c r="A893" s="22"/>
      <c r="B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x14ac:dyDescent="0.2">
      <c r="A894" s="22"/>
      <c r="B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x14ac:dyDescent="0.2">
      <c r="A895" s="22"/>
      <c r="B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x14ac:dyDescent="0.2">
      <c r="A896" s="22"/>
      <c r="B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x14ac:dyDescent="0.2">
      <c r="A897" s="22"/>
      <c r="B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x14ac:dyDescent="0.2">
      <c r="A898" s="22"/>
      <c r="B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x14ac:dyDescent="0.2">
      <c r="A899" s="22"/>
      <c r="B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x14ac:dyDescent="0.2">
      <c r="A900" s="22"/>
      <c r="B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x14ac:dyDescent="0.2">
      <c r="A901" s="22"/>
      <c r="B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x14ac:dyDescent="0.2">
      <c r="A902" s="22"/>
      <c r="B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x14ac:dyDescent="0.2">
      <c r="A903" s="22"/>
      <c r="B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x14ac:dyDescent="0.2">
      <c r="A904" s="22"/>
      <c r="B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x14ac:dyDescent="0.2">
      <c r="A905" s="22"/>
      <c r="B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x14ac:dyDescent="0.2">
      <c r="A906" s="22"/>
      <c r="B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x14ac:dyDescent="0.2">
      <c r="A907" s="22"/>
      <c r="B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x14ac:dyDescent="0.2">
      <c r="A908" s="22"/>
      <c r="B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x14ac:dyDescent="0.2">
      <c r="A909" s="22"/>
      <c r="B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x14ac:dyDescent="0.2">
      <c r="A910" s="22"/>
      <c r="B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x14ac:dyDescent="0.2">
      <c r="A911" s="22"/>
      <c r="B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x14ac:dyDescent="0.2">
      <c r="A912" s="22"/>
      <c r="B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x14ac:dyDescent="0.2">
      <c r="A913" s="22"/>
      <c r="B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x14ac:dyDescent="0.2">
      <c r="A914" s="22"/>
      <c r="B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x14ac:dyDescent="0.2">
      <c r="A915" s="22"/>
      <c r="B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x14ac:dyDescent="0.2">
      <c r="A916" s="22"/>
      <c r="B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x14ac:dyDescent="0.2">
      <c r="A917" s="22"/>
      <c r="B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x14ac:dyDescent="0.2">
      <c r="A918" s="22"/>
      <c r="B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x14ac:dyDescent="0.2">
      <c r="A919" s="22"/>
      <c r="B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x14ac:dyDescent="0.2">
      <c r="A920" s="22"/>
      <c r="B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x14ac:dyDescent="0.2">
      <c r="A921" s="22"/>
      <c r="B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x14ac:dyDescent="0.2">
      <c r="A922" s="22"/>
      <c r="B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x14ac:dyDescent="0.2">
      <c r="A923" s="22"/>
      <c r="B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x14ac:dyDescent="0.2">
      <c r="A924" s="22"/>
      <c r="B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x14ac:dyDescent="0.2">
      <c r="A925" s="22"/>
      <c r="B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x14ac:dyDescent="0.2">
      <c r="A926" s="22"/>
      <c r="B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x14ac:dyDescent="0.2">
      <c r="A927" s="22"/>
      <c r="B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x14ac:dyDescent="0.2">
      <c r="A928" s="22"/>
      <c r="B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x14ac:dyDescent="0.2">
      <c r="A929" s="22"/>
      <c r="B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x14ac:dyDescent="0.2">
      <c r="A930" s="22"/>
      <c r="B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x14ac:dyDescent="0.2">
      <c r="A931" s="22"/>
      <c r="B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x14ac:dyDescent="0.2">
      <c r="A932" s="22"/>
      <c r="B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x14ac:dyDescent="0.2">
      <c r="A933" s="22"/>
      <c r="B933" s="22"/>
      <c r="D933" s="22"/>
      <c r="E933" s="22"/>
      <c r="F933" s="22"/>
      <c r="G933" s="22"/>
      <c r="H933" s="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x14ac:dyDescent="0.2">
      <c r="A934" s="22"/>
      <c r="B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x14ac:dyDescent="0.2">
      <c r="A935" s="22"/>
      <c r="B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x14ac:dyDescent="0.2">
      <c r="A936" s="22"/>
      <c r="B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x14ac:dyDescent="0.2">
      <c r="A937" s="22"/>
      <c r="B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x14ac:dyDescent="0.2">
      <c r="A938" s="22"/>
      <c r="B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x14ac:dyDescent="0.2">
      <c r="A939" s="22"/>
      <c r="B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x14ac:dyDescent="0.2">
      <c r="A940" s="22"/>
      <c r="B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x14ac:dyDescent="0.2">
      <c r="A941" s="22"/>
      <c r="B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x14ac:dyDescent="0.2">
      <c r="A942" s="22"/>
      <c r="B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x14ac:dyDescent="0.2">
      <c r="A943" s="22"/>
      <c r="B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x14ac:dyDescent="0.2">
      <c r="A944" s="22"/>
      <c r="B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x14ac:dyDescent="0.2">
      <c r="A945" s="22"/>
      <c r="B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x14ac:dyDescent="0.2">
      <c r="A946" s="22"/>
      <c r="B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x14ac:dyDescent="0.2">
      <c r="A947" s="22"/>
      <c r="B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x14ac:dyDescent="0.2">
      <c r="A948" s="22"/>
      <c r="B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x14ac:dyDescent="0.2">
      <c r="A949" s="22"/>
      <c r="B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x14ac:dyDescent="0.2">
      <c r="A950" s="22"/>
      <c r="B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x14ac:dyDescent="0.2">
      <c r="A951" s="22"/>
      <c r="B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x14ac:dyDescent="0.2">
      <c r="A952" s="22"/>
      <c r="B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x14ac:dyDescent="0.2">
      <c r="A953" s="22"/>
      <c r="B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x14ac:dyDescent="0.2">
      <c r="A954" s="22"/>
      <c r="B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x14ac:dyDescent="0.2">
      <c r="A955" s="22"/>
      <c r="B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x14ac:dyDescent="0.2">
      <c r="A956" s="22"/>
      <c r="B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x14ac:dyDescent="0.2">
      <c r="A957" s="22"/>
      <c r="B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x14ac:dyDescent="0.2">
      <c r="A958" s="22"/>
      <c r="B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x14ac:dyDescent="0.2">
      <c r="A959" s="22"/>
      <c r="B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x14ac:dyDescent="0.2">
      <c r="A960" s="22"/>
      <c r="B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x14ac:dyDescent="0.2">
      <c r="A961" s="22"/>
      <c r="B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x14ac:dyDescent="0.2">
      <c r="A962" s="22"/>
      <c r="B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x14ac:dyDescent="0.2">
      <c r="A963" s="22"/>
      <c r="B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x14ac:dyDescent="0.2">
      <c r="A964" s="22"/>
      <c r="B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x14ac:dyDescent="0.2">
      <c r="A965" s="22"/>
      <c r="B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x14ac:dyDescent="0.2">
      <c r="A966" s="22"/>
      <c r="B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x14ac:dyDescent="0.2">
      <c r="A967" s="22"/>
      <c r="B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x14ac:dyDescent="0.2">
      <c r="A968" s="22"/>
      <c r="B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x14ac:dyDescent="0.2">
      <c r="A969" s="22"/>
      <c r="B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x14ac:dyDescent="0.2">
      <c r="A970" s="22"/>
      <c r="B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x14ac:dyDescent="0.2">
      <c r="A971" s="22"/>
      <c r="B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x14ac:dyDescent="0.2">
      <c r="A972" s="22"/>
      <c r="B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x14ac:dyDescent="0.2">
      <c r="A973" s="22"/>
      <c r="B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x14ac:dyDescent="0.2">
      <c r="A974" s="22"/>
      <c r="B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x14ac:dyDescent="0.2">
      <c r="A975" s="22"/>
      <c r="B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x14ac:dyDescent="0.2">
      <c r="A976" s="22"/>
      <c r="B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x14ac:dyDescent="0.2">
      <c r="A977" s="22"/>
      <c r="B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x14ac:dyDescent="0.2">
      <c r="A978" s="22"/>
      <c r="B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x14ac:dyDescent="0.2">
      <c r="A979" s="22"/>
      <c r="B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x14ac:dyDescent="0.2">
      <c r="A980" s="22"/>
      <c r="B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x14ac:dyDescent="0.2">
      <c r="A981" s="22"/>
      <c r="B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x14ac:dyDescent="0.2">
      <c r="A982" s="22"/>
      <c r="B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x14ac:dyDescent="0.2">
      <c r="A983" s="22"/>
      <c r="B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x14ac:dyDescent="0.2">
      <c r="A984" s="22"/>
      <c r="B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x14ac:dyDescent="0.2">
      <c r="A985" s="22"/>
      <c r="B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x14ac:dyDescent="0.2">
      <c r="A986" s="22"/>
      <c r="B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x14ac:dyDescent="0.2">
      <c r="A987" s="22"/>
      <c r="B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x14ac:dyDescent="0.2">
      <c r="A988" s="22"/>
      <c r="B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x14ac:dyDescent="0.2">
      <c r="A989" s="22"/>
      <c r="B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x14ac:dyDescent="0.2">
      <c r="A990" s="22"/>
      <c r="B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x14ac:dyDescent="0.2">
      <c r="A991" s="22"/>
      <c r="B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x14ac:dyDescent="0.2">
      <c r="A992" s="22"/>
      <c r="B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x14ac:dyDescent="0.2">
      <c r="A993" s="22"/>
      <c r="B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x14ac:dyDescent="0.2">
      <c r="A994" s="22"/>
      <c r="B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x14ac:dyDescent="0.2">
      <c r="A995" s="22"/>
      <c r="B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x14ac:dyDescent="0.2">
      <c r="A996" s="22"/>
      <c r="B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x14ac:dyDescent="0.2">
      <c r="A997" s="22"/>
      <c r="B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x14ac:dyDescent="0.2">
      <c r="A998" s="22"/>
      <c r="B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x14ac:dyDescent="0.2">
      <c r="A999" s="22"/>
      <c r="B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x14ac:dyDescent="0.2">
      <c r="A1000" s="22"/>
      <c r="B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x14ac:dyDescent="0.2">
      <c r="A1001" s="22"/>
      <c r="B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masterlist</vt:lpstr>
      <vt:lpstr>nsl survey</vt:lpstr>
      <vt:lpstr>rsl survey</vt:lpstr>
      <vt:lpstr>foils</vt:lpstr>
      <vt:lpstr>nsl_list1</vt:lpstr>
      <vt:lpstr>nsl_list2</vt:lpstr>
      <vt:lpstr>rsl_list1</vt:lpstr>
      <vt:lpstr>rsl_list2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2025-03-18T10:37:40Z</dcterms:modified>
</cp:coreProperties>
</file>